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TA\Labfis\Makalah\Revisi\"/>
    </mc:Choice>
  </mc:AlternateContent>
  <xr:revisionPtr revIDLastSave="0" documentId="13_ncr:1_{4350301D-1308-4E38-8F35-2C1B00B40418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Uji Akurasi" sheetId="2" r:id="rId1"/>
    <sheet name="Uji Akurasi Revisi" sheetId="6" r:id="rId2"/>
    <sheet name="Uji akurasi tegangan revisi" sheetId="9" r:id="rId3"/>
    <sheet name="Uji akurasi suhu revisi" sheetId="7" r:id="rId4"/>
    <sheet name="Uji Akurasi Arus Revisi" sheetId="8" r:id="rId5"/>
    <sheet name="Latensi" sheetId="3" r:id="rId6"/>
    <sheet name="Data Loss" sheetId="4" r:id="rId7"/>
    <sheet name="Presisi" sheetId="5" r:id="rId8"/>
    <sheet name="Presisi ulang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0" l="1"/>
  <c r="L11" i="10"/>
  <c r="L3" i="10"/>
  <c r="O12" i="8"/>
  <c r="I3" i="7"/>
  <c r="J3" i="7" s="1"/>
  <c r="E3" i="8"/>
  <c r="F3" i="7"/>
  <c r="G4" i="9"/>
  <c r="G5" i="9" s="1"/>
  <c r="K18" i="10"/>
  <c r="D18" i="10"/>
  <c r="J18" i="10"/>
  <c r="K11" i="10"/>
  <c r="J11" i="10"/>
  <c r="D11" i="10"/>
  <c r="K3" i="10"/>
  <c r="I3" i="10"/>
  <c r="I4" i="10" s="1"/>
  <c r="H8" i="10"/>
  <c r="J3" i="10"/>
  <c r="E4" i="10"/>
  <c r="E5" i="10"/>
  <c r="E6" i="10"/>
  <c r="E7" i="10"/>
  <c r="E3" i="10"/>
  <c r="F3" i="10" s="1"/>
  <c r="H4" i="10"/>
  <c r="H5" i="10"/>
  <c r="H6" i="10"/>
  <c r="H7" i="10"/>
  <c r="H3" i="10"/>
  <c r="D3" i="10"/>
  <c r="J3" i="8"/>
  <c r="I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3" i="8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3" i="7"/>
  <c r="K4" i="9"/>
  <c r="L4" i="9" s="1"/>
  <c r="J19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4" i="9"/>
  <c r="F3" i="8"/>
  <c r="F4" i="7"/>
  <c r="L3" i="7"/>
  <c r="M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4" i="9"/>
  <c r="M3" i="7"/>
  <c r="K3" i="7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J18" i="5"/>
  <c r="J3" i="5"/>
  <c r="J11" i="5"/>
  <c r="I19" i="5"/>
  <c r="I18" i="5"/>
  <c r="I12" i="5"/>
  <c r="I11" i="5"/>
  <c r="Q10" i="5"/>
  <c r="P11" i="5"/>
  <c r="P10" i="5"/>
  <c r="O3" i="5"/>
  <c r="I6" i="5"/>
  <c r="I3" i="5"/>
  <c r="E3" i="5"/>
  <c r="F3" i="5" s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3" i="7"/>
  <c r="F26" i="6"/>
  <c r="F25" i="6"/>
  <c r="E26" i="6"/>
  <c r="E27" i="6"/>
  <c r="E28" i="6"/>
  <c r="E29" i="6"/>
  <c r="E25" i="6"/>
  <c r="N5" i="6"/>
  <c r="G5" i="6"/>
  <c r="N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4" i="6"/>
  <c r="G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4" i="6"/>
  <c r="E22" i="2"/>
  <c r="E23" i="2"/>
  <c r="E24" i="2"/>
  <c r="E25" i="2"/>
  <c r="E21" i="2"/>
  <c r="Q13" i="2"/>
  <c r="P13" i="2"/>
  <c r="J5" i="2"/>
  <c r="H14" i="2"/>
  <c r="H15" i="2"/>
  <c r="H16" i="2"/>
  <c r="H17" i="2"/>
  <c r="H13" i="2"/>
  <c r="G14" i="2"/>
  <c r="G15" i="2"/>
  <c r="G16" i="2"/>
  <c r="G17" i="2"/>
  <c r="G13" i="2"/>
  <c r="F5" i="2"/>
  <c r="F6" i="2"/>
  <c r="F7" i="2"/>
  <c r="F8" i="2"/>
  <c r="F4" i="2"/>
  <c r="G18" i="5"/>
  <c r="G10" i="5"/>
  <c r="E21" i="5"/>
  <c r="E13" i="5"/>
  <c r="E6" i="5"/>
  <c r="F10" i="5"/>
  <c r="F18" i="5"/>
  <c r="E18" i="5"/>
  <c r="E10" i="5"/>
  <c r="H21" i="2"/>
  <c r="F22" i="2"/>
  <c r="F23" i="2"/>
  <c r="F24" i="2"/>
  <c r="F25" i="2"/>
  <c r="F21" i="2"/>
  <c r="N13" i="2"/>
  <c r="M13" i="2"/>
  <c r="I14" i="2"/>
  <c r="I15" i="2"/>
  <c r="I16" i="2"/>
  <c r="I17" i="2"/>
  <c r="I13" i="2"/>
  <c r="J14" i="2"/>
  <c r="J15" i="2"/>
  <c r="J16" i="2"/>
  <c r="J17" i="2"/>
  <c r="J13" i="2"/>
  <c r="I5" i="2"/>
  <c r="G8" i="2"/>
  <c r="G5" i="2"/>
  <c r="G6" i="2"/>
  <c r="G7" i="2"/>
  <c r="G4" i="2"/>
  <c r="L10" i="4"/>
  <c r="L6" i="4"/>
  <c r="E8" i="3"/>
  <c r="F6" i="3"/>
  <c r="E6" i="3"/>
  <c r="N4" i="9" l="1"/>
  <c r="O4" i="9"/>
  <c r="G3" i="5"/>
  <c r="I21" i="2"/>
  <c r="K3" i="8"/>
  <c r="L3" i="8" s="1"/>
  <c r="M3" i="8"/>
  <c r="F4" i="8"/>
</calcChain>
</file>

<file path=xl/sharedStrings.xml><?xml version="1.0" encoding="utf-8"?>
<sst xmlns="http://schemas.openxmlformats.org/spreadsheetml/2006/main" count="143" uniqueCount="60">
  <si>
    <t>Tegangan</t>
  </si>
  <si>
    <t>Sensor</t>
  </si>
  <si>
    <t>Multi</t>
  </si>
  <si>
    <t>PSU</t>
  </si>
  <si>
    <t>Arus</t>
  </si>
  <si>
    <t>Charge</t>
  </si>
  <si>
    <t>Discharge</t>
  </si>
  <si>
    <t>No</t>
  </si>
  <si>
    <t>Temperatur</t>
  </si>
  <si>
    <t>Thermo Gun</t>
  </si>
  <si>
    <t>Temperature</t>
  </si>
  <si>
    <t>Delay (ms)</t>
  </si>
  <si>
    <t>5,2+-2,4</t>
  </si>
  <si>
    <t>=== COMM STATUS ===</t>
  </si>
  <si>
    <t>Pack 1: CONNECTED, Last: 0s ago, SOC=63.1%, SOH=99.9%, Charge=0mA, Discharge=0mA</t>
  </si>
  <si>
    <t>Pack 2: CONNECTED, Last: 0s ago, SOC=65.0%, SOH=99.9%, Charge=0mA, Discharge=0mA</t>
  </si>
  <si>
    <t>Buffer: 0/20 packets</t>
  </si>
  <si>
    <t>=== PACKET LOSS COUNTERS ===</t>
  </si>
  <si>
    <t>Pack 1:</t>
  </si>
  <si>
    <t xml:space="preserve">  Slave sent (last seq): 501 packets</t>
  </si>
  <si>
    <t xml:space="preserve">  Master received: 483 packets</t>
  </si>
  <si>
    <t xml:space="preserve">  Missing: 16 packets</t>
  </si>
  <si>
    <t xml:space="preserve">  Expected total: 501</t>
  </si>
  <si>
    <t xml:space="preserve">  Loss rate: 3.19%</t>
  </si>
  <si>
    <t>Pack 2:</t>
  </si>
  <si>
    <t xml:space="preserve">  Master received: 501 packets</t>
  </si>
  <si>
    <t xml:space="preserve">  Missing: 0 packets</t>
  </si>
  <si>
    <t xml:space="preserve">  Loss rate: 0.00%</t>
  </si>
  <si>
    <t>============================</t>
  </si>
  <si>
    <t>Pack 1</t>
  </si>
  <si>
    <t>Pack 2</t>
  </si>
  <si>
    <t>Max</t>
  </si>
  <si>
    <t>MAX</t>
  </si>
  <si>
    <t>SD</t>
  </si>
  <si>
    <t>KR</t>
  </si>
  <si>
    <t>Delta x</t>
  </si>
  <si>
    <t>mean</t>
  </si>
  <si>
    <t>selisih</t>
  </si>
  <si>
    <t>Selisih</t>
  </si>
  <si>
    <t>selisih rata2</t>
  </si>
  <si>
    <t>charge</t>
  </si>
  <si>
    <t>discharge</t>
  </si>
  <si>
    <t>Power Supply</t>
  </si>
  <si>
    <t>Deviasi</t>
  </si>
  <si>
    <t>deviasi</t>
  </si>
  <si>
    <t>RSD</t>
  </si>
  <si>
    <t>ZT-703S (mA)</t>
  </si>
  <si>
    <t>Sensor (mA)</t>
  </si>
  <si>
    <t>MAE</t>
  </si>
  <si>
    <t>MAE%</t>
  </si>
  <si>
    <t xml:space="preserve">MAE FSR </t>
  </si>
  <si>
    <t>MAE FSR</t>
  </si>
  <si>
    <t>MAX FSR</t>
  </si>
  <si>
    <t>MAPE</t>
  </si>
  <si>
    <t>Accuracy</t>
  </si>
  <si>
    <t>A-F/A</t>
  </si>
  <si>
    <t>xbar</t>
  </si>
  <si>
    <t>x-xbar</t>
  </si>
  <si>
    <t>x^2</t>
  </si>
  <si>
    <t>Uncertainly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</si>
</sst>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Tegangan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55424321959753"/>
                  <c:y val="-3.37332312627588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'Uji Akurasi Revisi'!$C$4:$C$18</c:f>
              <c:numCache>
                <c:formatCode>General</c:formatCode>
                <c:ptCount val="15"/>
                <c:pt idx="0">
                  <c:v>6.66</c:v>
                </c:pt>
                <c:pt idx="1">
                  <c:v>7.73</c:v>
                </c:pt>
                <c:pt idx="2">
                  <c:v>8.74</c:v>
                </c:pt>
                <c:pt idx="3">
                  <c:v>9.7899999999999991</c:v>
                </c:pt>
                <c:pt idx="4">
                  <c:v>10.81</c:v>
                </c:pt>
                <c:pt idx="5">
                  <c:v>11.82</c:v>
                </c:pt>
                <c:pt idx="6">
                  <c:v>12.84</c:v>
                </c:pt>
                <c:pt idx="7">
                  <c:v>13.87</c:v>
                </c:pt>
                <c:pt idx="8">
                  <c:v>14.81</c:v>
                </c:pt>
                <c:pt idx="9">
                  <c:v>15.81</c:v>
                </c:pt>
                <c:pt idx="10">
                  <c:v>16.8</c:v>
                </c:pt>
                <c:pt idx="11">
                  <c:v>17.829999999999998</c:v>
                </c:pt>
                <c:pt idx="12">
                  <c:v>18.89</c:v>
                </c:pt>
                <c:pt idx="13">
                  <c:v>19.91</c:v>
                </c:pt>
                <c:pt idx="14">
                  <c:v>20.93</c:v>
                </c:pt>
              </c:numCache>
            </c:numRef>
          </c:xVal>
          <c:yVal>
            <c:numRef>
              <c:f>'Uji Akurasi Revisi'!$D$4:$D$18</c:f>
              <c:numCache>
                <c:formatCode>General</c:formatCode>
                <c:ptCount val="15"/>
                <c:pt idx="0">
                  <c:v>6.24</c:v>
                </c:pt>
                <c:pt idx="1">
                  <c:v>7.53</c:v>
                </c:pt>
                <c:pt idx="2">
                  <c:v>8.56</c:v>
                </c:pt>
                <c:pt idx="3">
                  <c:v>9.61</c:v>
                </c:pt>
                <c:pt idx="4">
                  <c:v>10.67</c:v>
                </c:pt>
                <c:pt idx="5">
                  <c:v>11.67</c:v>
                </c:pt>
                <c:pt idx="6">
                  <c:v>12.62</c:v>
                </c:pt>
                <c:pt idx="7">
                  <c:v>13.72</c:v>
                </c:pt>
                <c:pt idx="8">
                  <c:v>14.58</c:v>
                </c:pt>
                <c:pt idx="9">
                  <c:v>15.58</c:v>
                </c:pt>
                <c:pt idx="10">
                  <c:v>16.579999999999998</c:v>
                </c:pt>
                <c:pt idx="11">
                  <c:v>17.600000000000001</c:v>
                </c:pt>
                <c:pt idx="12">
                  <c:v>18.760000000000002</c:v>
                </c:pt>
                <c:pt idx="13">
                  <c:v>19.79</c:v>
                </c:pt>
                <c:pt idx="14">
                  <c:v>20.78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9E-4118-A2F4-D14B24730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52863"/>
        <c:axId val="156153343"/>
      </c:scatterChart>
      <c:valAx>
        <c:axId val="15615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6153343"/>
        <c:crosses val="autoZero"/>
        <c:crossBetween val="midCat"/>
      </c:valAx>
      <c:valAx>
        <c:axId val="15615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Sensor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615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Arus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997462817147858"/>
                  <c:y val="-4.680664916885389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'Uji Akurasi Revisi'!$K$4:$K$29</c:f>
              <c:numCache>
                <c:formatCode>General</c:formatCode>
                <c:ptCount val="26"/>
                <c:pt idx="0">
                  <c:v>0.09</c:v>
                </c:pt>
                <c:pt idx="1">
                  <c:v>58.5</c:v>
                </c:pt>
                <c:pt idx="2">
                  <c:v>104.8</c:v>
                </c:pt>
                <c:pt idx="3">
                  <c:v>157.6</c:v>
                </c:pt>
                <c:pt idx="4">
                  <c:v>198.9</c:v>
                </c:pt>
                <c:pt idx="5">
                  <c:v>270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960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1300</c:v>
                </c:pt>
                <c:pt idx="24">
                  <c:v>1400</c:v>
                </c:pt>
                <c:pt idx="25">
                  <c:v>1500</c:v>
                </c:pt>
              </c:numCache>
            </c:numRef>
          </c:xVal>
          <c:yVal>
            <c:numRef>
              <c:f>'Uji Akurasi Revisi'!$L$4:$L$29</c:f>
              <c:numCache>
                <c:formatCode>General</c:formatCode>
                <c:ptCount val="26"/>
                <c:pt idx="0">
                  <c:v>0.4</c:v>
                </c:pt>
                <c:pt idx="1">
                  <c:v>59.5</c:v>
                </c:pt>
                <c:pt idx="2">
                  <c:v>105.8</c:v>
                </c:pt>
                <c:pt idx="3">
                  <c:v>163</c:v>
                </c:pt>
                <c:pt idx="4">
                  <c:v>204.5</c:v>
                </c:pt>
                <c:pt idx="5">
                  <c:v>260.5</c:v>
                </c:pt>
                <c:pt idx="6">
                  <c:v>310.10000000000002</c:v>
                </c:pt>
                <c:pt idx="7">
                  <c:v>360.6</c:v>
                </c:pt>
                <c:pt idx="8">
                  <c:v>411.7</c:v>
                </c:pt>
                <c:pt idx="9">
                  <c:v>459.1</c:v>
                </c:pt>
                <c:pt idx="10">
                  <c:v>511</c:v>
                </c:pt>
                <c:pt idx="11">
                  <c:v>563.20000000000005</c:v>
                </c:pt>
                <c:pt idx="12">
                  <c:v>614.20000000000005</c:v>
                </c:pt>
                <c:pt idx="13">
                  <c:v>663.6</c:v>
                </c:pt>
                <c:pt idx="14">
                  <c:v>715.3</c:v>
                </c:pt>
                <c:pt idx="15">
                  <c:v>763.6</c:v>
                </c:pt>
                <c:pt idx="16">
                  <c:v>812.5</c:v>
                </c:pt>
                <c:pt idx="17">
                  <c:v>864.6</c:v>
                </c:pt>
                <c:pt idx="18">
                  <c:v>915</c:v>
                </c:pt>
                <c:pt idx="19">
                  <c:v>960.6</c:v>
                </c:pt>
                <c:pt idx="20">
                  <c:v>1019.2</c:v>
                </c:pt>
                <c:pt idx="21">
                  <c:v>1124.7</c:v>
                </c:pt>
                <c:pt idx="22">
                  <c:v>1226.2</c:v>
                </c:pt>
                <c:pt idx="23">
                  <c:v>1332.5</c:v>
                </c:pt>
                <c:pt idx="24">
                  <c:v>1435.1</c:v>
                </c:pt>
                <c:pt idx="25">
                  <c:v>1540.5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0C-4CE1-9FD8-85B5D038D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627775"/>
        <c:axId val="228622015"/>
      </c:scatterChart>
      <c:valAx>
        <c:axId val="22862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28622015"/>
        <c:crosses val="autoZero"/>
        <c:crossBetween val="midCat"/>
      </c:valAx>
      <c:valAx>
        <c:axId val="22862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Sensor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2862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Suhu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553149606299219E-2"/>
                  <c:y val="1.213181685622630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'Uji Akurasi Revisi'!$C$25:$C$29</c:f>
              <c:numCache>
                <c:formatCode>General</c:formatCode>
                <c:ptCount val="5"/>
                <c:pt idx="0">
                  <c:v>26.5</c:v>
                </c:pt>
                <c:pt idx="1">
                  <c:v>29.6</c:v>
                </c:pt>
                <c:pt idx="2">
                  <c:v>31.2</c:v>
                </c:pt>
                <c:pt idx="3">
                  <c:v>31.6</c:v>
                </c:pt>
                <c:pt idx="4">
                  <c:v>34.6</c:v>
                </c:pt>
              </c:numCache>
            </c:numRef>
          </c:xVal>
          <c:yVal>
            <c:numRef>
              <c:f>'Uji Akurasi Revisi'!$D$25:$D$29</c:f>
              <c:numCache>
                <c:formatCode>General</c:formatCode>
                <c:ptCount val="5"/>
                <c:pt idx="0">
                  <c:v>25.67</c:v>
                </c:pt>
                <c:pt idx="1">
                  <c:v>28.59</c:v>
                </c:pt>
                <c:pt idx="2">
                  <c:v>30.47</c:v>
                </c:pt>
                <c:pt idx="3">
                  <c:v>31.33</c:v>
                </c:pt>
                <c:pt idx="4">
                  <c:v>33.869999999999997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EC-453D-8DBE-F0A46739B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006223"/>
        <c:axId val="238007663"/>
      </c:scatterChart>
      <c:valAx>
        <c:axId val="23800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38007663"/>
        <c:crosses val="autoZero"/>
        <c:crossBetween val="midCat"/>
      </c:valAx>
      <c:valAx>
        <c:axId val="23800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Sensor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3800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396240</xdr:colOff>
      <xdr:row>1</xdr:row>
      <xdr:rowOff>26670</xdr:rowOff>
    </xdr:from>
    <xdr:to>
      <xdr:col>22</xdr:col>
      <xdr:colOff>91440</xdr:colOff>
      <xdr:row>16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C082B0-08CF-0CFC-1E4F-DE95ADC4B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396240</xdr:colOff>
      <xdr:row>16</xdr:row>
      <xdr:rowOff>163830</xdr:rowOff>
    </xdr:from>
    <xdr:to>
      <xdr:col>22</xdr:col>
      <xdr:colOff>91440</xdr:colOff>
      <xdr:row>31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285D6B-D635-5753-BE22-08754BBDB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403860</xdr:colOff>
      <xdr:row>32</xdr:row>
      <xdr:rowOff>64770</xdr:rowOff>
    </xdr:from>
    <xdr:to>
      <xdr:col>22</xdr:col>
      <xdr:colOff>99060</xdr:colOff>
      <xdr:row>47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A6ADC4-40D8-A161-601B-B5C6767D2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5A0E-3909-4665-BD9D-7023AC109B8A}">
  <dimension ref="B2:Q25"/>
  <sheetViews>
    <sheetView workbookViewId="0">
      <selection activeCell="G4" sqref="G4"/>
    </sheetView>
  </sheetViews>
  <sheetFormatPr defaultRowHeight="14.4" x14ac:dyDescent="0.3"/>
  <cols>
    <col min="4" max="4" width="12" customWidth="1"/>
  </cols>
  <sheetData>
    <row r="2" spans="2:17" x14ac:dyDescent="0.3">
      <c r="B2" t="s">
        <v>0</v>
      </c>
    </row>
    <row r="3" spans="2:17" x14ac:dyDescent="0.3">
      <c r="B3" t="s">
        <v>7</v>
      </c>
      <c r="C3" t="s">
        <v>1</v>
      </c>
      <c r="D3" t="s">
        <v>2</v>
      </c>
      <c r="E3" t="s">
        <v>3</v>
      </c>
      <c r="F3" t="s">
        <v>37</v>
      </c>
      <c r="G3" t="s">
        <v>34</v>
      </c>
    </row>
    <row r="4" spans="2:17" x14ac:dyDescent="0.3">
      <c r="B4">
        <v>1</v>
      </c>
      <c r="C4">
        <v>16.48</v>
      </c>
      <c r="D4">
        <v>16.57</v>
      </c>
      <c r="E4">
        <v>17</v>
      </c>
      <c r="F4">
        <f>D4-C4</f>
        <v>8.9999999999999858E-2</v>
      </c>
      <c r="G4">
        <f>(D4-C4)/D4*100</f>
        <v>0.54315027157513496</v>
      </c>
      <c r="I4" t="s">
        <v>31</v>
      </c>
      <c r="J4" t="s">
        <v>39</v>
      </c>
    </row>
    <row r="5" spans="2:17" x14ac:dyDescent="0.3">
      <c r="B5">
        <v>2</v>
      </c>
      <c r="C5">
        <v>16.27</v>
      </c>
      <c r="D5">
        <v>16.38</v>
      </c>
      <c r="E5">
        <v>16.84</v>
      </c>
      <c r="F5">
        <f t="shared" ref="F5:F8" si="0">D5-C5</f>
        <v>0.10999999999999943</v>
      </c>
      <c r="G5">
        <f>(D5-C5)/D5*100</f>
        <v>0.67155067155066817</v>
      </c>
      <c r="I5">
        <f>MAX(G4:G8)</f>
        <v>0.67155067155066817</v>
      </c>
      <c r="J5">
        <f>AVERAGE(F4:F8)</f>
        <v>9.0000000000000219E-2</v>
      </c>
    </row>
    <row r="6" spans="2:17" x14ac:dyDescent="0.3">
      <c r="B6">
        <v>3</v>
      </c>
      <c r="C6">
        <v>16.059999999999999</v>
      </c>
      <c r="D6">
        <v>16.13</v>
      </c>
      <c r="E6">
        <v>16.600000000000001</v>
      </c>
      <c r="F6">
        <f t="shared" si="0"/>
        <v>7.0000000000000284E-2</v>
      </c>
      <c r="G6">
        <f>(D6-C6)/D6*100</f>
        <v>0.43397396156230805</v>
      </c>
    </row>
    <row r="7" spans="2:17" x14ac:dyDescent="0.3">
      <c r="B7">
        <v>4</v>
      </c>
      <c r="C7">
        <v>15.87</v>
      </c>
      <c r="D7">
        <v>15.96</v>
      </c>
      <c r="E7">
        <v>16.399999999999999</v>
      </c>
      <c r="F7">
        <f t="shared" si="0"/>
        <v>9.0000000000001634E-2</v>
      </c>
      <c r="G7">
        <f>(D7-C7)/D7*100</f>
        <v>0.56390977443610046</v>
      </c>
    </row>
    <row r="8" spans="2:17" x14ac:dyDescent="0.3">
      <c r="B8">
        <v>5</v>
      </c>
      <c r="C8">
        <v>15.66</v>
      </c>
      <c r="D8">
        <v>15.75</v>
      </c>
      <c r="E8">
        <v>16.2</v>
      </c>
      <c r="F8">
        <f t="shared" si="0"/>
        <v>8.9999999999999858E-2</v>
      </c>
      <c r="G8">
        <f>(D8-C8)/D8*100</f>
        <v>0.57142857142857051</v>
      </c>
    </row>
    <row r="10" spans="2:17" x14ac:dyDescent="0.3">
      <c r="B10" t="s">
        <v>4</v>
      </c>
    </row>
    <row r="11" spans="2:17" x14ac:dyDescent="0.3">
      <c r="B11" s="1" t="s">
        <v>7</v>
      </c>
      <c r="C11" s="1" t="s">
        <v>5</v>
      </c>
      <c r="D11" s="1"/>
      <c r="E11" s="1" t="s">
        <v>6</v>
      </c>
      <c r="F11" s="1"/>
      <c r="G11" t="s">
        <v>38</v>
      </c>
      <c r="I11" t="s">
        <v>34</v>
      </c>
      <c r="M11" t="s">
        <v>31</v>
      </c>
      <c r="P11" t="s">
        <v>39</v>
      </c>
    </row>
    <row r="12" spans="2:17" x14ac:dyDescent="0.3">
      <c r="B12" s="1"/>
      <c r="C12" t="s">
        <v>1</v>
      </c>
      <c r="D12" t="s">
        <v>2</v>
      </c>
      <c r="E12" t="s">
        <v>1</v>
      </c>
      <c r="F12" t="s">
        <v>2</v>
      </c>
      <c r="G12" t="s">
        <v>5</v>
      </c>
      <c r="H12" t="s">
        <v>6</v>
      </c>
      <c r="I12" t="s">
        <v>5</v>
      </c>
      <c r="J12" t="s">
        <v>6</v>
      </c>
      <c r="M12" t="s">
        <v>5</v>
      </c>
      <c r="N12" t="s">
        <v>6</v>
      </c>
      <c r="P12" t="s">
        <v>40</v>
      </c>
      <c r="Q12" t="s">
        <v>41</v>
      </c>
    </row>
    <row r="13" spans="2:17" x14ac:dyDescent="0.3">
      <c r="B13">
        <v>1</v>
      </c>
      <c r="C13">
        <v>133.4</v>
      </c>
      <c r="D13">
        <v>126</v>
      </c>
      <c r="E13">
        <v>221.2</v>
      </c>
      <c r="F13">
        <v>231.8</v>
      </c>
      <c r="G13">
        <f>C13-D13</f>
        <v>7.4000000000000057</v>
      </c>
      <c r="H13">
        <f>F13-E13</f>
        <v>10.600000000000023</v>
      </c>
      <c r="I13">
        <f>ABS((C13-D13)/D13*100)</f>
        <v>5.8730158730158779</v>
      </c>
      <c r="J13">
        <f>ABS((E13-F13)/F13*100)</f>
        <v>4.5729076790336594</v>
      </c>
      <c r="M13">
        <f>MAX(I13:I17)</f>
        <v>7.7083333333333393</v>
      </c>
      <c r="N13">
        <f>MAX(J13:J17)</f>
        <v>4.6321525885558499</v>
      </c>
      <c r="P13">
        <f>AVERAGE(G13:G17)</f>
        <v>6.2600000000000025</v>
      </c>
      <c r="Q13">
        <f>AVERAGE(H13:H17)</f>
        <v>7.9999999999999885</v>
      </c>
    </row>
    <row r="14" spans="2:17" x14ac:dyDescent="0.3">
      <c r="B14">
        <v>2</v>
      </c>
      <c r="C14">
        <v>103.4</v>
      </c>
      <c r="D14">
        <v>96</v>
      </c>
      <c r="E14">
        <v>185</v>
      </c>
      <c r="F14">
        <v>191</v>
      </c>
      <c r="G14">
        <f t="shared" ref="G14:G17" si="1">C14-D14</f>
        <v>7.4000000000000057</v>
      </c>
      <c r="H14">
        <f t="shared" ref="H14:H17" si="2">F14-E14</f>
        <v>6</v>
      </c>
      <c r="I14">
        <f>ABS((C14-D14)/D14*100)</f>
        <v>7.7083333333333393</v>
      </c>
      <c r="J14">
        <f>ABS((E14-F14)/F14*100)</f>
        <v>3.1413612565445024</v>
      </c>
    </row>
    <row r="15" spans="2:17" x14ac:dyDescent="0.3">
      <c r="B15">
        <v>3</v>
      </c>
      <c r="C15">
        <v>213.2</v>
      </c>
      <c r="D15">
        <v>207</v>
      </c>
      <c r="E15">
        <v>245</v>
      </c>
      <c r="F15">
        <v>256.89999999999998</v>
      </c>
      <c r="G15">
        <f t="shared" si="1"/>
        <v>6.1999999999999886</v>
      </c>
      <c r="H15">
        <f t="shared" si="2"/>
        <v>11.899999999999977</v>
      </c>
      <c r="I15">
        <f>ABS((C15-D15)/D15*100)</f>
        <v>2.9951690821255985</v>
      </c>
      <c r="J15">
        <f>ABS((E15-F15)/F15*100)</f>
        <v>4.6321525885558499</v>
      </c>
    </row>
    <row r="16" spans="2:17" x14ac:dyDescent="0.3">
      <c r="B16">
        <v>4</v>
      </c>
      <c r="C16">
        <v>193.5</v>
      </c>
      <c r="D16">
        <v>188</v>
      </c>
      <c r="E16">
        <v>195.8</v>
      </c>
      <c r="F16">
        <v>202.7</v>
      </c>
      <c r="G16">
        <f t="shared" si="1"/>
        <v>5.5</v>
      </c>
      <c r="H16">
        <f t="shared" si="2"/>
        <v>6.8999999999999773</v>
      </c>
      <c r="I16">
        <f>ABS((C16-D16)/D16*100)</f>
        <v>2.9255319148936172</v>
      </c>
      <c r="J16">
        <f>ABS((E16-F16)/F16*100)</f>
        <v>3.4040453872718195</v>
      </c>
    </row>
    <row r="17" spans="2:10" x14ac:dyDescent="0.3">
      <c r="B17">
        <v>5</v>
      </c>
      <c r="C17">
        <v>220.8</v>
      </c>
      <c r="D17">
        <v>216</v>
      </c>
      <c r="E17">
        <v>259.60000000000002</v>
      </c>
      <c r="F17">
        <v>264.2</v>
      </c>
      <c r="G17">
        <f t="shared" si="1"/>
        <v>4.8000000000000114</v>
      </c>
      <c r="H17">
        <f t="shared" si="2"/>
        <v>4.5999999999999659</v>
      </c>
      <c r="I17">
        <f>ABS((C17-D17)/D17*100)</f>
        <v>2.2222222222222276</v>
      </c>
      <c r="J17">
        <f>ABS((E17-F17)/F17*100)</f>
        <v>1.741105223315657</v>
      </c>
    </row>
    <row r="19" spans="2:10" x14ac:dyDescent="0.3">
      <c r="B19" t="s">
        <v>8</v>
      </c>
    </row>
    <row r="20" spans="2:10" x14ac:dyDescent="0.3">
      <c r="B20" t="s">
        <v>7</v>
      </c>
      <c r="C20" t="s">
        <v>1</v>
      </c>
      <c r="D20" t="s">
        <v>9</v>
      </c>
      <c r="E20" t="s">
        <v>38</v>
      </c>
      <c r="F20" t="s">
        <v>34</v>
      </c>
      <c r="H20" t="s">
        <v>32</v>
      </c>
      <c r="I20" t="s">
        <v>39</v>
      </c>
    </row>
    <row r="21" spans="2:10" x14ac:dyDescent="0.3">
      <c r="B21">
        <v>1</v>
      </c>
      <c r="C21">
        <v>31.47</v>
      </c>
      <c r="D21">
        <v>31.2</v>
      </c>
      <c r="E21">
        <f>ABS(D21-C21)</f>
        <v>0.26999999999999957</v>
      </c>
      <c r="F21">
        <f>ABS((C21-D21)/D21*100)</f>
        <v>0.86538461538461409</v>
      </c>
      <c r="H21">
        <f>MAX(F21:F25)</f>
        <v>4.0189873417721618</v>
      </c>
      <c r="I21">
        <f>AVERAGE(E21:E25)</f>
        <v>0.82200000000000129</v>
      </c>
    </row>
    <row r="22" spans="2:10" x14ac:dyDescent="0.3">
      <c r="B22">
        <v>2</v>
      </c>
      <c r="C22">
        <v>30.33</v>
      </c>
      <c r="D22">
        <v>31.6</v>
      </c>
      <c r="E22">
        <f t="shared" ref="E22:E25" si="3">ABS(D22-C22)</f>
        <v>1.2700000000000031</v>
      </c>
      <c r="F22">
        <f>ABS((C22-D22)/D22*100)</f>
        <v>4.0189873417721618</v>
      </c>
    </row>
    <row r="23" spans="2:10" x14ac:dyDescent="0.3">
      <c r="B23">
        <v>3</v>
      </c>
      <c r="C23">
        <v>33.869999999999997</v>
      </c>
      <c r="D23">
        <v>34.6</v>
      </c>
      <c r="E23">
        <f t="shared" si="3"/>
        <v>0.73000000000000398</v>
      </c>
      <c r="F23">
        <f>ABS((C23-D23)/D23*100)</f>
        <v>2.1098265895953872</v>
      </c>
    </row>
    <row r="24" spans="2:10" x14ac:dyDescent="0.3">
      <c r="B24">
        <v>4</v>
      </c>
      <c r="C24">
        <v>25.67</v>
      </c>
      <c r="D24">
        <v>26.5</v>
      </c>
      <c r="E24">
        <f t="shared" si="3"/>
        <v>0.82999999999999829</v>
      </c>
      <c r="F24">
        <f>ABS((C24-D24)/D24*100)</f>
        <v>3.1320754716981072</v>
      </c>
    </row>
    <row r="25" spans="2:10" x14ac:dyDescent="0.3">
      <c r="B25">
        <v>5</v>
      </c>
      <c r="C25">
        <v>28.59</v>
      </c>
      <c r="D25">
        <v>29.6</v>
      </c>
      <c r="E25">
        <f t="shared" si="3"/>
        <v>1.0100000000000016</v>
      </c>
      <c r="F25">
        <f>ABS((C25-D25)/D25*100)</f>
        <v>3.4121621621621676</v>
      </c>
    </row>
  </sheetData>
  <mergeCells count="3">
    <mergeCell ref="C11:D11"/>
    <mergeCell ref="E11:F11"/>
    <mergeCell ref="B11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7590-A321-46FB-B3F9-01341DA7378A}">
  <dimension ref="B2:N29"/>
  <sheetViews>
    <sheetView workbookViewId="0">
      <selection activeCell="H21" sqref="H21"/>
    </sheetView>
  </sheetViews>
  <sheetFormatPr defaultRowHeight="14.4" x14ac:dyDescent="0.3"/>
  <cols>
    <col min="3" max="3" width="10" customWidth="1"/>
    <col min="4" max="4" width="10.88671875" customWidth="1"/>
    <col min="5" max="5" width="12.21875" customWidth="1"/>
  </cols>
  <sheetData>
    <row r="2" spans="2:14" x14ac:dyDescent="0.3">
      <c r="B2" t="s">
        <v>0</v>
      </c>
      <c r="J2" t="s">
        <v>4</v>
      </c>
    </row>
    <row r="3" spans="2:14" x14ac:dyDescent="0.3">
      <c r="B3" t="s">
        <v>7</v>
      </c>
      <c r="C3" t="s">
        <v>2</v>
      </c>
      <c r="D3" t="s">
        <v>1</v>
      </c>
      <c r="E3" t="s">
        <v>42</v>
      </c>
      <c r="F3" t="s">
        <v>43</v>
      </c>
      <c r="J3" t="s">
        <v>7</v>
      </c>
      <c r="K3" t="s">
        <v>2</v>
      </c>
      <c r="L3" t="s">
        <v>1</v>
      </c>
      <c r="M3" t="s">
        <v>43</v>
      </c>
    </row>
    <row r="4" spans="2:14" x14ac:dyDescent="0.3">
      <c r="B4">
        <v>1</v>
      </c>
      <c r="C4">
        <v>6.66</v>
      </c>
      <c r="D4">
        <v>6.24</v>
      </c>
      <c r="E4">
        <v>7</v>
      </c>
      <c r="F4">
        <f>C4-D4</f>
        <v>0.41999999999999993</v>
      </c>
      <c r="G4">
        <f>MAX(D4:D18)-MIN(D4:D18)</f>
        <v>14.540000000000001</v>
      </c>
      <c r="J4">
        <v>1</v>
      </c>
      <c r="K4">
        <v>0.09</v>
      </c>
      <c r="L4">
        <v>0.4</v>
      </c>
      <c r="M4">
        <f>ABS(L4-K4)</f>
        <v>0.31000000000000005</v>
      </c>
      <c r="N4">
        <f>MAX(L4:L29)</f>
        <v>1540.5</v>
      </c>
    </row>
    <row r="5" spans="2:14" x14ac:dyDescent="0.3">
      <c r="B5">
        <v>2</v>
      </c>
      <c r="C5">
        <v>7.73</v>
      </c>
      <c r="D5">
        <v>7.53</v>
      </c>
      <c r="E5">
        <v>8</v>
      </c>
      <c r="F5">
        <f t="shared" ref="F5:F18" si="0">C5-D5</f>
        <v>0.20000000000000018</v>
      </c>
      <c r="G5">
        <f>(MAX(F4:F18)/G4)*100</f>
        <v>2.8885832187070144</v>
      </c>
      <c r="J5">
        <v>2</v>
      </c>
      <c r="K5">
        <v>58.5</v>
      </c>
      <c r="L5">
        <v>59.5</v>
      </c>
      <c r="M5">
        <f t="shared" ref="M5:M29" si="1">ABS(L5-K5)</f>
        <v>1</v>
      </c>
      <c r="N5">
        <f>(MAX(M4:M29)/N4)*100</f>
        <v>2.6290165530671863</v>
      </c>
    </row>
    <row r="6" spans="2:14" x14ac:dyDescent="0.3">
      <c r="B6">
        <v>3</v>
      </c>
      <c r="C6">
        <v>8.74</v>
      </c>
      <c r="D6">
        <v>8.56</v>
      </c>
      <c r="E6">
        <v>9</v>
      </c>
      <c r="F6">
        <f t="shared" si="0"/>
        <v>0.17999999999999972</v>
      </c>
      <c r="J6">
        <v>3</v>
      </c>
      <c r="K6">
        <v>104.8</v>
      </c>
      <c r="L6">
        <v>105.8</v>
      </c>
      <c r="M6">
        <f t="shared" si="1"/>
        <v>1</v>
      </c>
    </row>
    <row r="7" spans="2:14" x14ac:dyDescent="0.3">
      <c r="B7">
        <v>4</v>
      </c>
      <c r="C7">
        <v>9.7899999999999991</v>
      </c>
      <c r="D7">
        <v>9.61</v>
      </c>
      <c r="E7">
        <v>10</v>
      </c>
      <c r="F7">
        <f t="shared" si="0"/>
        <v>0.17999999999999972</v>
      </c>
      <c r="J7">
        <v>4</v>
      </c>
      <c r="K7">
        <v>157.6</v>
      </c>
      <c r="L7">
        <v>163</v>
      </c>
      <c r="M7">
        <f t="shared" si="1"/>
        <v>5.4000000000000057</v>
      </c>
    </row>
    <row r="8" spans="2:14" x14ac:dyDescent="0.3">
      <c r="B8">
        <v>5</v>
      </c>
      <c r="C8">
        <v>10.81</v>
      </c>
      <c r="D8">
        <v>10.67</v>
      </c>
      <c r="E8">
        <v>11</v>
      </c>
      <c r="F8">
        <f t="shared" si="0"/>
        <v>0.14000000000000057</v>
      </c>
      <c r="J8">
        <v>5</v>
      </c>
      <c r="K8">
        <v>198.9</v>
      </c>
      <c r="L8">
        <v>204.5</v>
      </c>
      <c r="M8">
        <f t="shared" si="1"/>
        <v>5.5999999999999943</v>
      </c>
    </row>
    <row r="9" spans="2:14" x14ac:dyDescent="0.3">
      <c r="B9">
        <v>6</v>
      </c>
      <c r="C9">
        <v>11.82</v>
      </c>
      <c r="D9">
        <v>11.67</v>
      </c>
      <c r="E9">
        <v>12</v>
      </c>
      <c r="F9">
        <f t="shared" si="0"/>
        <v>0.15000000000000036</v>
      </c>
      <c r="J9">
        <v>6</v>
      </c>
      <c r="K9">
        <v>270</v>
      </c>
      <c r="L9">
        <v>260.5</v>
      </c>
      <c r="M9">
        <f t="shared" si="1"/>
        <v>9.5</v>
      </c>
    </row>
    <row r="10" spans="2:14" x14ac:dyDescent="0.3">
      <c r="B10">
        <v>7</v>
      </c>
      <c r="C10">
        <v>12.84</v>
      </c>
      <c r="D10">
        <v>12.62</v>
      </c>
      <c r="E10">
        <v>13</v>
      </c>
      <c r="F10">
        <f t="shared" si="0"/>
        <v>0.22000000000000064</v>
      </c>
      <c r="J10">
        <v>7</v>
      </c>
      <c r="K10">
        <v>310</v>
      </c>
      <c r="L10">
        <v>310.10000000000002</v>
      </c>
      <c r="M10">
        <f t="shared" si="1"/>
        <v>0.10000000000002274</v>
      </c>
    </row>
    <row r="11" spans="2:14" x14ac:dyDescent="0.3">
      <c r="B11">
        <v>8</v>
      </c>
      <c r="C11">
        <v>13.87</v>
      </c>
      <c r="D11">
        <v>13.72</v>
      </c>
      <c r="E11">
        <v>14</v>
      </c>
      <c r="F11">
        <f t="shared" si="0"/>
        <v>0.14999999999999858</v>
      </c>
      <c r="J11">
        <v>8</v>
      </c>
      <c r="K11">
        <v>360</v>
      </c>
      <c r="L11">
        <v>360.6</v>
      </c>
      <c r="M11">
        <f t="shared" si="1"/>
        <v>0.60000000000002274</v>
      </c>
    </row>
    <row r="12" spans="2:14" x14ac:dyDescent="0.3">
      <c r="B12">
        <v>9</v>
      </c>
      <c r="C12">
        <v>14.81</v>
      </c>
      <c r="D12">
        <v>14.58</v>
      </c>
      <c r="E12">
        <v>15</v>
      </c>
      <c r="F12">
        <f t="shared" si="0"/>
        <v>0.23000000000000043</v>
      </c>
      <c r="J12">
        <v>9</v>
      </c>
      <c r="K12">
        <v>410</v>
      </c>
      <c r="L12">
        <v>411.7</v>
      </c>
      <c r="M12">
        <f t="shared" si="1"/>
        <v>1.6999999999999886</v>
      </c>
    </row>
    <row r="13" spans="2:14" x14ac:dyDescent="0.3">
      <c r="B13">
        <v>10</v>
      </c>
      <c r="C13">
        <v>15.81</v>
      </c>
      <c r="D13">
        <v>15.58</v>
      </c>
      <c r="E13">
        <v>16</v>
      </c>
      <c r="F13">
        <f t="shared" si="0"/>
        <v>0.23000000000000043</v>
      </c>
      <c r="J13">
        <v>10</v>
      </c>
      <c r="K13">
        <v>460</v>
      </c>
      <c r="L13">
        <v>459.1</v>
      </c>
      <c r="M13">
        <f t="shared" si="1"/>
        <v>0.89999999999997726</v>
      </c>
    </row>
    <row r="14" spans="2:14" x14ac:dyDescent="0.3">
      <c r="B14">
        <v>11</v>
      </c>
      <c r="C14">
        <v>16.8</v>
      </c>
      <c r="D14">
        <v>16.579999999999998</v>
      </c>
      <c r="E14">
        <v>17</v>
      </c>
      <c r="F14">
        <f t="shared" si="0"/>
        <v>0.22000000000000242</v>
      </c>
      <c r="J14">
        <v>11</v>
      </c>
      <c r="K14">
        <v>510</v>
      </c>
      <c r="L14">
        <v>511</v>
      </c>
      <c r="M14">
        <f t="shared" si="1"/>
        <v>1</v>
      </c>
    </row>
    <row r="15" spans="2:14" x14ac:dyDescent="0.3">
      <c r="B15">
        <v>12</v>
      </c>
      <c r="C15">
        <v>17.829999999999998</v>
      </c>
      <c r="D15">
        <v>17.600000000000001</v>
      </c>
      <c r="E15">
        <v>18</v>
      </c>
      <c r="F15">
        <f t="shared" si="0"/>
        <v>0.22999999999999687</v>
      </c>
      <c r="J15">
        <v>12</v>
      </c>
      <c r="K15">
        <v>560</v>
      </c>
      <c r="L15">
        <v>563.20000000000005</v>
      </c>
      <c r="M15">
        <f t="shared" si="1"/>
        <v>3.2000000000000455</v>
      </c>
    </row>
    <row r="16" spans="2:14" x14ac:dyDescent="0.3">
      <c r="B16">
        <v>13</v>
      </c>
      <c r="C16">
        <v>18.89</v>
      </c>
      <c r="D16">
        <v>18.760000000000002</v>
      </c>
      <c r="E16">
        <v>19</v>
      </c>
      <c r="F16">
        <f t="shared" si="0"/>
        <v>0.12999999999999901</v>
      </c>
      <c r="J16">
        <v>13</v>
      </c>
      <c r="K16">
        <v>610</v>
      </c>
      <c r="L16">
        <v>614.20000000000005</v>
      </c>
      <c r="M16">
        <f t="shared" si="1"/>
        <v>4.2000000000000455</v>
      </c>
    </row>
    <row r="17" spans="2:13" x14ac:dyDescent="0.3">
      <c r="B17">
        <v>14</v>
      </c>
      <c r="C17">
        <v>19.91</v>
      </c>
      <c r="D17">
        <v>19.79</v>
      </c>
      <c r="E17">
        <v>20</v>
      </c>
      <c r="F17">
        <f t="shared" si="0"/>
        <v>0.12000000000000099</v>
      </c>
      <c r="J17">
        <v>14</v>
      </c>
      <c r="K17">
        <v>660</v>
      </c>
      <c r="L17">
        <v>663.6</v>
      </c>
      <c r="M17">
        <f t="shared" si="1"/>
        <v>3.6000000000000227</v>
      </c>
    </row>
    <row r="18" spans="2:13" x14ac:dyDescent="0.3">
      <c r="B18">
        <v>15</v>
      </c>
      <c r="C18">
        <v>20.93</v>
      </c>
      <c r="D18">
        <v>20.78</v>
      </c>
      <c r="E18">
        <v>21</v>
      </c>
      <c r="F18">
        <f t="shared" si="0"/>
        <v>0.14999999999999858</v>
      </c>
      <c r="J18">
        <v>15</v>
      </c>
      <c r="K18">
        <v>710</v>
      </c>
      <c r="L18">
        <v>715.3</v>
      </c>
      <c r="M18">
        <f t="shared" si="1"/>
        <v>5.2999999999999545</v>
      </c>
    </row>
    <row r="19" spans="2:13" x14ac:dyDescent="0.3">
      <c r="J19">
        <v>16</v>
      </c>
      <c r="K19">
        <v>760</v>
      </c>
      <c r="L19">
        <v>763.6</v>
      </c>
      <c r="M19">
        <f t="shared" si="1"/>
        <v>3.6000000000000227</v>
      </c>
    </row>
    <row r="20" spans="2:13" x14ac:dyDescent="0.3">
      <c r="J20">
        <v>17</v>
      </c>
      <c r="K20">
        <v>800</v>
      </c>
      <c r="L20">
        <v>812.5</v>
      </c>
      <c r="M20">
        <f t="shared" si="1"/>
        <v>12.5</v>
      </c>
    </row>
    <row r="21" spans="2:13" x14ac:dyDescent="0.3">
      <c r="J21">
        <v>18</v>
      </c>
      <c r="K21">
        <v>850</v>
      </c>
      <c r="L21">
        <v>864.6</v>
      </c>
      <c r="M21">
        <f t="shared" si="1"/>
        <v>14.600000000000023</v>
      </c>
    </row>
    <row r="22" spans="2:13" x14ac:dyDescent="0.3">
      <c r="J22">
        <v>19</v>
      </c>
      <c r="K22">
        <v>900</v>
      </c>
      <c r="L22">
        <v>915</v>
      </c>
      <c r="M22">
        <f t="shared" si="1"/>
        <v>15</v>
      </c>
    </row>
    <row r="23" spans="2:13" x14ac:dyDescent="0.3">
      <c r="B23" t="s">
        <v>10</v>
      </c>
      <c r="J23">
        <v>20</v>
      </c>
      <c r="K23">
        <v>960</v>
      </c>
      <c r="L23">
        <v>960.6</v>
      </c>
      <c r="M23">
        <f t="shared" si="1"/>
        <v>0.60000000000002274</v>
      </c>
    </row>
    <row r="24" spans="2:13" x14ac:dyDescent="0.3">
      <c r="B24" t="s">
        <v>7</v>
      </c>
      <c r="C24" t="s">
        <v>9</v>
      </c>
      <c r="D24" t="s">
        <v>1</v>
      </c>
      <c r="E24" t="s">
        <v>44</v>
      </c>
      <c r="J24">
        <v>21</v>
      </c>
      <c r="K24">
        <v>1000</v>
      </c>
      <c r="L24">
        <v>1019.2</v>
      </c>
      <c r="M24">
        <f t="shared" si="1"/>
        <v>19.200000000000045</v>
      </c>
    </row>
    <row r="25" spans="2:13" x14ac:dyDescent="0.3">
      <c r="B25">
        <v>1</v>
      </c>
      <c r="C25">
        <v>26.5</v>
      </c>
      <c r="D25">
        <v>25.67</v>
      </c>
      <c r="E25">
        <f>ABS(D25-C25)</f>
        <v>0.82999999999999829</v>
      </c>
      <c r="F25">
        <f>MAX(D25:D29)-MIN(D25:D29)</f>
        <v>8.1999999999999957</v>
      </c>
      <c r="J25">
        <v>22</v>
      </c>
      <c r="K25">
        <v>1100</v>
      </c>
      <c r="L25">
        <v>1124.7</v>
      </c>
      <c r="M25">
        <f t="shared" si="1"/>
        <v>24.700000000000045</v>
      </c>
    </row>
    <row r="26" spans="2:13" x14ac:dyDescent="0.3">
      <c r="B26">
        <v>2</v>
      </c>
      <c r="C26">
        <v>29.6</v>
      </c>
      <c r="D26">
        <v>28.59</v>
      </c>
      <c r="E26">
        <f t="shared" ref="E26:E29" si="2">ABS(D26-C26)</f>
        <v>1.0100000000000016</v>
      </c>
      <c r="F26">
        <f>(MAX(E25:E29)/F25)*100</f>
        <v>12.317073170731732</v>
      </c>
      <c r="J26">
        <v>23</v>
      </c>
      <c r="K26">
        <v>1200</v>
      </c>
      <c r="L26">
        <v>1226.2</v>
      </c>
      <c r="M26">
        <f t="shared" si="1"/>
        <v>26.200000000000045</v>
      </c>
    </row>
    <row r="27" spans="2:13" x14ac:dyDescent="0.3">
      <c r="B27">
        <v>3</v>
      </c>
      <c r="C27">
        <v>31.2</v>
      </c>
      <c r="D27">
        <v>30.47</v>
      </c>
      <c r="E27">
        <f t="shared" si="2"/>
        <v>0.73000000000000043</v>
      </c>
      <c r="J27">
        <v>24</v>
      </c>
      <c r="K27">
        <v>1300</v>
      </c>
      <c r="L27">
        <v>1332.5</v>
      </c>
      <c r="M27">
        <f t="shared" si="1"/>
        <v>32.5</v>
      </c>
    </row>
    <row r="28" spans="2:13" x14ac:dyDescent="0.3">
      <c r="B28">
        <v>4</v>
      </c>
      <c r="C28">
        <v>31.6</v>
      </c>
      <c r="D28">
        <v>31.33</v>
      </c>
      <c r="E28">
        <f t="shared" si="2"/>
        <v>0.27000000000000313</v>
      </c>
      <c r="J28">
        <v>25</v>
      </c>
      <c r="K28">
        <v>1400</v>
      </c>
      <c r="L28">
        <v>1435.1</v>
      </c>
      <c r="M28">
        <f t="shared" si="1"/>
        <v>35.099999999999909</v>
      </c>
    </row>
    <row r="29" spans="2:13" x14ac:dyDescent="0.3">
      <c r="B29">
        <v>5</v>
      </c>
      <c r="C29">
        <v>34.6</v>
      </c>
      <c r="D29">
        <v>33.869999999999997</v>
      </c>
      <c r="E29">
        <f t="shared" si="2"/>
        <v>0.73000000000000398</v>
      </c>
      <c r="J29">
        <v>26</v>
      </c>
      <c r="K29">
        <v>1500</v>
      </c>
      <c r="L29">
        <v>1540.5</v>
      </c>
      <c r="M29">
        <f t="shared" si="1"/>
        <v>40.5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C926-5BFD-4F1D-ABE0-2C6811D60FD6}">
  <dimension ref="B3:O19"/>
  <sheetViews>
    <sheetView workbookViewId="0">
      <selection activeCell="G5" sqref="G5"/>
    </sheetView>
  </sheetViews>
  <sheetFormatPr defaultRowHeight="14.4" x14ac:dyDescent="0.3"/>
  <sheetData>
    <row r="3" spans="2:15" x14ac:dyDescent="0.3">
      <c r="B3" t="s">
        <v>7</v>
      </c>
      <c r="C3" t="s">
        <v>2</v>
      </c>
      <c r="D3" t="s">
        <v>1</v>
      </c>
      <c r="E3" t="s">
        <v>42</v>
      </c>
      <c r="F3" t="s">
        <v>43</v>
      </c>
      <c r="J3" t="s">
        <v>55</v>
      </c>
      <c r="K3" t="s">
        <v>53</v>
      </c>
      <c r="L3" t="s">
        <v>54</v>
      </c>
      <c r="M3" t="s">
        <v>48</v>
      </c>
      <c r="N3" t="s">
        <v>51</v>
      </c>
      <c r="O3" t="s">
        <v>52</v>
      </c>
    </row>
    <row r="4" spans="2:15" x14ac:dyDescent="0.3">
      <c r="B4">
        <v>1</v>
      </c>
      <c r="C4">
        <v>6.66</v>
      </c>
      <c r="D4">
        <v>6.24</v>
      </c>
      <c r="E4">
        <v>7</v>
      </c>
      <c r="F4">
        <f>ABS(C4-D4)</f>
        <v>0.41999999999999993</v>
      </c>
      <c r="G4">
        <f>MAX(D4:D18)-MIN(D4:D18)</f>
        <v>14.540000000000001</v>
      </c>
      <c r="J4">
        <f>ABS((C4-D4)/C4)</f>
        <v>6.3063063063063057E-2</v>
      </c>
      <c r="K4">
        <f>AVERAGE(J4:J18)*100</f>
        <v>1.7177054205769631</v>
      </c>
      <c r="L4">
        <f>100-K4</f>
        <v>98.282294579423038</v>
      </c>
      <c r="M4">
        <f>AVERAGE(F4:F18)</f>
        <v>0.19666666666666657</v>
      </c>
      <c r="N4">
        <f>M4/G4*100</f>
        <v>1.3525905547913795</v>
      </c>
      <c r="O4">
        <f>MAX(F4:F18)/G4*100</f>
        <v>2.8885832187070144</v>
      </c>
    </row>
    <row r="5" spans="2:15" x14ac:dyDescent="0.3">
      <c r="B5">
        <v>2</v>
      </c>
      <c r="C5">
        <v>7.73</v>
      </c>
      <c r="D5">
        <v>7.53</v>
      </c>
      <c r="E5">
        <v>8</v>
      </c>
      <c r="F5">
        <f t="shared" ref="F5:F18" si="0">ABS(C5-D5)</f>
        <v>0.20000000000000018</v>
      </c>
      <c r="G5">
        <f>MAX(F4:F18)/G4*100</f>
        <v>2.8885832187070144</v>
      </c>
      <c r="J5">
        <f t="shared" ref="J5:J18" si="1">ABS((C5-D5)/C5)</f>
        <v>2.5873221216041419E-2</v>
      </c>
    </row>
    <row r="6" spans="2:15" x14ac:dyDescent="0.3">
      <c r="B6">
        <v>3</v>
      </c>
      <c r="C6">
        <v>8.74</v>
      </c>
      <c r="D6">
        <v>8.56</v>
      </c>
      <c r="E6">
        <v>9</v>
      </c>
      <c r="F6">
        <f t="shared" si="0"/>
        <v>0.17999999999999972</v>
      </c>
      <c r="J6">
        <f t="shared" si="1"/>
        <v>2.0594965675057177E-2</v>
      </c>
    </row>
    <row r="7" spans="2:15" x14ac:dyDescent="0.3">
      <c r="B7">
        <v>4</v>
      </c>
      <c r="C7">
        <v>9.7899999999999991</v>
      </c>
      <c r="D7">
        <v>9.61</v>
      </c>
      <c r="E7">
        <v>10</v>
      </c>
      <c r="F7">
        <f t="shared" si="0"/>
        <v>0.17999999999999972</v>
      </c>
      <c r="J7">
        <f t="shared" si="1"/>
        <v>1.8386108273748696E-2</v>
      </c>
    </row>
    <row r="8" spans="2:15" x14ac:dyDescent="0.3">
      <c r="B8">
        <v>5</v>
      </c>
      <c r="C8">
        <v>10.81</v>
      </c>
      <c r="D8">
        <v>10.67</v>
      </c>
      <c r="E8">
        <v>11</v>
      </c>
      <c r="F8">
        <f t="shared" si="0"/>
        <v>0.14000000000000057</v>
      </c>
      <c r="J8">
        <f t="shared" si="1"/>
        <v>1.2950971322849265E-2</v>
      </c>
    </row>
    <row r="9" spans="2:15" x14ac:dyDescent="0.3">
      <c r="B9">
        <v>6</v>
      </c>
      <c r="C9">
        <v>11.82</v>
      </c>
      <c r="D9">
        <v>11.67</v>
      </c>
      <c r="E9">
        <v>12</v>
      </c>
      <c r="F9">
        <f t="shared" si="0"/>
        <v>0.15000000000000036</v>
      </c>
      <c r="J9">
        <f t="shared" si="1"/>
        <v>1.2690355329949268E-2</v>
      </c>
    </row>
    <row r="10" spans="2:15" x14ac:dyDescent="0.3">
      <c r="B10">
        <v>7</v>
      </c>
      <c r="C10">
        <v>12.84</v>
      </c>
      <c r="D10">
        <v>12.62</v>
      </c>
      <c r="E10">
        <v>13</v>
      </c>
      <c r="F10">
        <f t="shared" si="0"/>
        <v>0.22000000000000064</v>
      </c>
      <c r="J10">
        <f t="shared" si="1"/>
        <v>1.7133956386292885E-2</v>
      </c>
    </row>
    <row r="11" spans="2:15" x14ac:dyDescent="0.3">
      <c r="B11">
        <v>8</v>
      </c>
      <c r="C11">
        <v>13.87</v>
      </c>
      <c r="D11">
        <v>13.72</v>
      </c>
      <c r="E11">
        <v>14</v>
      </c>
      <c r="F11">
        <f t="shared" si="0"/>
        <v>0.14999999999999858</v>
      </c>
      <c r="J11">
        <f t="shared" si="1"/>
        <v>1.0814708002883821E-2</v>
      </c>
    </row>
    <row r="12" spans="2:15" x14ac:dyDescent="0.3">
      <c r="B12">
        <v>9</v>
      </c>
      <c r="C12">
        <v>14.81</v>
      </c>
      <c r="D12">
        <v>14.58</v>
      </c>
      <c r="E12">
        <v>15</v>
      </c>
      <c r="F12">
        <f t="shared" si="0"/>
        <v>0.23000000000000043</v>
      </c>
      <c r="J12">
        <f t="shared" si="1"/>
        <v>1.5530047265361271E-2</v>
      </c>
    </row>
    <row r="13" spans="2:15" x14ac:dyDescent="0.3">
      <c r="B13">
        <v>10</v>
      </c>
      <c r="C13">
        <v>15.81</v>
      </c>
      <c r="D13">
        <v>15.58</v>
      </c>
      <c r="E13">
        <v>16</v>
      </c>
      <c r="F13">
        <f t="shared" si="0"/>
        <v>0.23000000000000043</v>
      </c>
      <c r="J13">
        <f t="shared" si="1"/>
        <v>1.4547754585705275E-2</v>
      </c>
    </row>
    <row r="14" spans="2:15" x14ac:dyDescent="0.3">
      <c r="B14">
        <v>11</v>
      </c>
      <c r="C14">
        <v>16.8</v>
      </c>
      <c r="D14">
        <v>16.579999999999998</v>
      </c>
      <c r="E14">
        <v>17</v>
      </c>
      <c r="F14">
        <f t="shared" si="0"/>
        <v>0.22000000000000242</v>
      </c>
      <c r="J14">
        <f t="shared" si="1"/>
        <v>1.3095238095238238E-2</v>
      </c>
    </row>
    <row r="15" spans="2:15" x14ac:dyDescent="0.3">
      <c r="B15">
        <v>12</v>
      </c>
      <c r="C15">
        <v>17.829999999999998</v>
      </c>
      <c r="D15">
        <v>17.600000000000001</v>
      </c>
      <c r="E15">
        <v>18</v>
      </c>
      <c r="F15">
        <f t="shared" si="0"/>
        <v>0.22999999999999687</v>
      </c>
      <c r="J15">
        <f t="shared" si="1"/>
        <v>1.289960740325277E-2</v>
      </c>
    </row>
    <row r="16" spans="2:15" x14ac:dyDescent="0.3">
      <c r="B16">
        <v>13</v>
      </c>
      <c r="C16">
        <v>18.89</v>
      </c>
      <c r="D16">
        <v>18.760000000000002</v>
      </c>
      <c r="E16">
        <v>19</v>
      </c>
      <c r="F16">
        <f t="shared" si="0"/>
        <v>0.12999999999999901</v>
      </c>
      <c r="J16">
        <f t="shared" si="1"/>
        <v>6.8819481206987294E-3</v>
      </c>
    </row>
    <row r="17" spans="2:10" x14ac:dyDescent="0.3">
      <c r="B17">
        <v>14</v>
      </c>
      <c r="C17">
        <v>19.91</v>
      </c>
      <c r="D17">
        <v>19.79</v>
      </c>
      <c r="E17">
        <v>20</v>
      </c>
      <c r="F17">
        <f t="shared" si="0"/>
        <v>0.12000000000000099</v>
      </c>
      <c r="J17">
        <f t="shared" si="1"/>
        <v>6.0271220492215463E-3</v>
      </c>
    </row>
    <row r="18" spans="2:10" x14ac:dyDescent="0.3">
      <c r="B18">
        <v>15</v>
      </c>
      <c r="C18">
        <v>20.93</v>
      </c>
      <c r="D18">
        <v>20.78</v>
      </c>
      <c r="E18">
        <v>21</v>
      </c>
      <c r="F18">
        <f t="shared" si="0"/>
        <v>0.14999999999999858</v>
      </c>
      <c r="J18">
        <f t="shared" si="1"/>
        <v>7.1667462971810123E-3</v>
      </c>
    </row>
    <row r="19" spans="2:10" x14ac:dyDescent="0.3">
      <c r="J19">
        <f>SUM(J4:J18)</f>
        <v>0.25765581308654445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7BCB-D33B-4D00-B380-7E11A3937816}">
  <dimension ref="B2:M39"/>
  <sheetViews>
    <sheetView workbookViewId="0">
      <selection activeCell="P9" sqref="P9"/>
    </sheetView>
  </sheetViews>
  <sheetFormatPr defaultRowHeight="14.4" x14ac:dyDescent="0.3"/>
  <sheetData>
    <row r="2" spans="2:13" x14ac:dyDescent="0.3">
      <c r="B2" t="s">
        <v>7</v>
      </c>
      <c r="C2" t="s">
        <v>9</v>
      </c>
      <c r="D2" t="s">
        <v>1</v>
      </c>
      <c r="E2" t="s">
        <v>43</v>
      </c>
      <c r="H2" t="s">
        <v>55</v>
      </c>
      <c r="I2" t="s">
        <v>53</v>
      </c>
      <c r="J2" t="s">
        <v>54</v>
      </c>
      <c r="K2" t="s">
        <v>48</v>
      </c>
      <c r="L2" t="s">
        <v>49</v>
      </c>
      <c r="M2" t="s">
        <v>50</v>
      </c>
    </row>
    <row r="3" spans="2:13" x14ac:dyDescent="0.3">
      <c r="B3">
        <v>1</v>
      </c>
      <c r="C3">
        <v>-11</v>
      </c>
      <c r="D3">
        <v>-11.77</v>
      </c>
      <c r="E3">
        <f>ABS(D3-C3)</f>
        <v>0.76999999999999957</v>
      </c>
      <c r="F3">
        <f>MAX(D3:D39)-MIN(D3:D39)</f>
        <v>63.22</v>
      </c>
      <c r="H3">
        <f>ABS(ABS(D3-C3)/C3)</f>
        <v>6.9999999999999965E-2</v>
      </c>
      <c r="I3">
        <f>AVERAGE(H3:H39)*100</f>
        <v>4.9900784237710338</v>
      </c>
      <c r="J3">
        <f>100-I3</f>
        <v>95.009921576228962</v>
      </c>
      <c r="K3">
        <f>AVERAGE(E3:E39)</f>
        <v>0.2327027027027021</v>
      </c>
      <c r="L3">
        <f>K3/F3*100</f>
        <v>0.36808399668254049</v>
      </c>
      <c r="M3">
        <f>MAX(E3:E39)/F3*100</f>
        <v>2.1670357481809552</v>
      </c>
    </row>
    <row r="4" spans="2:13" x14ac:dyDescent="0.3">
      <c r="B4">
        <v>2</v>
      </c>
      <c r="C4">
        <v>-7</v>
      </c>
      <c r="D4">
        <v>-7.43</v>
      </c>
      <c r="E4">
        <f t="shared" ref="E4:E39" si="0">ABS(D4-C4)</f>
        <v>0.42999999999999972</v>
      </c>
      <c r="F4">
        <f>(MAX(E3:E39)/F3)*100</f>
        <v>2.1670357481809552</v>
      </c>
      <c r="H4">
        <f t="shared" ref="H4:H39" si="1">ABS(ABS(D4-C4)/C4)</f>
        <v>6.1428571428571388E-2</v>
      </c>
    </row>
    <row r="5" spans="2:13" x14ac:dyDescent="0.3">
      <c r="B5">
        <v>3</v>
      </c>
      <c r="C5">
        <v>-1.3</v>
      </c>
      <c r="D5">
        <v>-2.67</v>
      </c>
      <c r="E5">
        <f t="shared" si="0"/>
        <v>1.3699999999999999</v>
      </c>
      <c r="H5">
        <f t="shared" si="1"/>
        <v>1.0538461538461537</v>
      </c>
    </row>
    <row r="6" spans="2:13" x14ac:dyDescent="0.3">
      <c r="B6">
        <v>4</v>
      </c>
      <c r="C6">
        <v>2.2000000000000002</v>
      </c>
      <c r="D6">
        <v>2.99</v>
      </c>
      <c r="E6">
        <f t="shared" si="0"/>
        <v>0.79</v>
      </c>
      <c r="H6">
        <f t="shared" si="1"/>
        <v>0.35909090909090907</v>
      </c>
    </row>
    <row r="7" spans="2:13" x14ac:dyDescent="0.3">
      <c r="B7">
        <v>5</v>
      </c>
      <c r="C7">
        <v>5.2</v>
      </c>
      <c r="D7">
        <v>5.45</v>
      </c>
      <c r="E7">
        <f t="shared" si="0"/>
        <v>0.25</v>
      </c>
      <c r="H7">
        <f t="shared" si="1"/>
        <v>4.8076923076923073E-2</v>
      </c>
    </row>
    <row r="8" spans="2:13" x14ac:dyDescent="0.3">
      <c r="B8">
        <v>6</v>
      </c>
      <c r="C8">
        <v>6.7</v>
      </c>
      <c r="D8">
        <v>6.65</v>
      </c>
      <c r="E8">
        <f t="shared" si="0"/>
        <v>4.9999999999999822E-2</v>
      </c>
      <c r="H8">
        <f t="shared" si="1"/>
        <v>7.4626865671641521E-3</v>
      </c>
    </row>
    <row r="9" spans="2:13" x14ac:dyDescent="0.3">
      <c r="B9">
        <v>7</v>
      </c>
      <c r="C9">
        <v>8.8000000000000007</v>
      </c>
      <c r="D9">
        <v>8.8699999999999992</v>
      </c>
      <c r="E9">
        <f t="shared" si="0"/>
        <v>6.9999999999998508E-2</v>
      </c>
      <c r="H9">
        <f t="shared" si="1"/>
        <v>7.9545454545452837E-3</v>
      </c>
    </row>
    <row r="10" spans="2:13" x14ac:dyDescent="0.3">
      <c r="B10">
        <v>8</v>
      </c>
      <c r="C10">
        <v>9.6</v>
      </c>
      <c r="D10">
        <v>9.85</v>
      </c>
      <c r="E10">
        <f t="shared" si="0"/>
        <v>0.25</v>
      </c>
      <c r="H10">
        <f t="shared" si="1"/>
        <v>2.6041666666666668E-2</v>
      </c>
    </row>
    <row r="11" spans="2:13" x14ac:dyDescent="0.3">
      <c r="B11">
        <v>9</v>
      </c>
      <c r="C11">
        <v>10.6</v>
      </c>
      <c r="D11">
        <v>10.79</v>
      </c>
      <c r="E11">
        <f t="shared" si="0"/>
        <v>0.1899999999999995</v>
      </c>
      <c r="H11">
        <f t="shared" si="1"/>
        <v>1.7924528301886747E-2</v>
      </c>
    </row>
    <row r="12" spans="2:13" x14ac:dyDescent="0.3">
      <c r="B12">
        <v>10</v>
      </c>
      <c r="C12">
        <v>11</v>
      </c>
      <c r="D12">
        <v>11.21</v>
      </c>
      <c r="E12">
        <f t="shared" si="0"/>
        <v>0.21000000000000085</v>
      </c>
      <c r="H12">
        <f t="shared" si="1"/>
        <v>1.9090909090909169E-2</v>
      </c>
    </row>
    <row r="13" spans="2:13" x14ac:dyDescent="0.3">
      <c r="B13">
        <v>11</v>
      </c>
      <c r="C13">
        <v>13.4</v>
      </c>
      <c r="D13">
        <v>13.69</v>
      </c>
      <c r="E13">
        <f t="shared" si="0"/>
        <v>0.28999999999999915</v>
      </c>
      <c r="H13">
        <f t="shared" si="1"/>
        <v>2.1641791044776055E-2</v>
      </c>
    </row>
    <row r="14" spans="2:13" x14ac:dyDescent="0.3">
      <c r="B14">
        <v>12</v>
      </c>
      <c r="C14">
        <v>15.1</v>
      </c>
      <c r="D14">
        <v>15.31</v>
      </c>
      <c r="E14">
        <f t="shared" si="0"/>
        <v>0.21000000000000085</v>
      </c>
      <c r="H14">
        <f t="shared" si="1"/>
        <v>1.3907284768211977E-2</v>
      </c>
    </row>
    <row r="15" spans="2:13" x14ac:dyDescent="0.3">
      <c r="B15">
        <v>13</v>
      </c>
      <c r="C15">
        <v>16.600000000000001</v>
      </c>
      <c r="D15">
        <v>16.73</v>
      </c>
      <c r="E15">
        <f t="shared" si="0"/>
        <v>0.12999999999999901</v>
      </c>
      <c r="H15">
        <f t="shared" si="1"/>
        <v>7.8313253012047591E-3</v>
      </c>
    </row>
    <row r="16" spans="2:13" x14ac:dyDescent="0.3">
      <c r="B16">
        <v>14</v>
      </c>
      <c r="C16">
        <v>17.2</v>
      </c>
      <c r="D16">
        <v>17.43</v>
      </c>
      <c r="E16">
        <f t="shared" si="0"/>
        <v>0.23000000000000043</v>
      </c>
      <c r="H16">
        <f t="shared" si="1"/>
        <v>1.337209302325584E-2</v>
      </c>
    </row>
    <row r="17" spans="2:8" x14ac:dyDescent="0.3">
      <c r="B17">
        <v>15</v>
      </c>
      <c r="C17">
        <v>18.5</v>
      </c>
      <c r="D17">
        <v>18.71</v>
      </c>
      <c r="E17">
        <f t="shared" si="0"/>
        <v>0.21000000000000085</v>
      </c>
      <c r="H17">
        <f t="shared" si="1"/>
        <v>1.1351351351351397E-2</v>
      </c>
    </row>
    <row r="18" spans="2:8" x14ac:dyDescent="0.3">
      <c r="B18">
        <v>16</v>
      </c>
      <c r="C18">
        <v>19</v>
      </c>
      <c r="D18">
        <v>19.25</v>
      </c>
      <c r="E18">
        <f t="shared" si="0"/>
        <v>0.25</v>
      </c>
      <c r="H18">
        <f t="shared" si="1"/>
        <v>1.3157894736842105E-2</v>
      </c>
    </row>
    <row r="19" spans="2:8" x14ac:dyDescent="0.3">
      <c r="B19">
        <v>17</v>
      </c>
      <c r="C19">
        <v>20.100000000000001</v>
      </c>
      <c r="D19">
        <v>20.329999999999998</v>
      </c>
      <c r="E19">
        <f t="shared" si="0"/>
        <v>0.22999999999999687</v>
      </c>
      <c r="H19">
        <f t="shared" si="1"/>
        <v>1.1442786069651585E-2</v>
      </c>
    </row>
    <row r="20" spans="2:8" x14ac:dyDescent="0.3">
      <c r="B20">
        <v>18</v>
      </c>
      <c r="C20">
        <v>21.3</v>
      </c>
      <c r="D20">
        <v>21.33</v>
      </c>
      <c r="E20">
        <f t="shared" si="0"/>
        <v>2.9999999999997584E-2</v>
      </c>
      <c r="H20">
        <f t="shared" si="1"/>
        <v>1.4084507042252386E-3</v>
      </c>
    </row>
    <row r="21" spans="2:8" x14ac:dyDescent="0.3">
      <c r="B21">
        <v>19</v>
      </c>
      <c r="C21">
        <v>22.6</v>
      </c>
      <c r="D21">
        <v>22.95</v>
      </c>
      <c r="E21">
        <f t="shared" si="0"/>
        <v>0.34999999999999787</v>
      </c>
      <c r="H21">
        <f t="shared" si="1"/>
        <v>1.5486725663716719E-2</v>
      </c>
    </row>
    <row r="22" spans="2:8" x14ac:dyDescent="0.3">
      <c r="B22">
        <v>20</v>
      </c>
      <c r="C22">
        <v>23</v>
      </c>
      <c r="D22">
        <v>23.11</v>
      </c>
      <c r="E22">
        <f t="shared" si="0"/>
        <v>0.10999999999999943</v>
      </c>
      <c r="H22">
        <f t="shared" si="1"/>
        <v>4.7826086956521494E-3</v>
      </c>
    </row>
    <row r="23" spans="2:8" x14ac:dyDescent="0.3">
      <c r="B23">
        <v>21</v>
      </c>
      <c r="C23">
        <v>25</v>
      </c>
      <c r="D23">
        <v>25.17</v>
      </c>
      <c r="E23">
        <f t="shared" si="0"/>
        <v>0.17000000000000171</v>
      </c>
      <c r="H23">
        <f t="shared" si="1"/>
        <v>6.8000000000000681E-3</v>
      </c>
    </row>
    <row r="24" spans="2:8" x14ac:dyDescent="0.3">
      <c r="B24">
        <v>22</v>
      </c>
      <c r="C24">
        <v>26.7</v>
      </c>
      <c r="D24">
        <v>26.77</v>
      </c>
      <c r="E24">
        <f t="shared" si="0"/>
        <v>7.0000000000000284E-2</v>
      </c>
      <c r="H24">
        <f t="shared" si="1"/>
        <v>2.6217228464419581E-3</v>
      </c>
    </row>
    <row r="25" spans="2:8" x14ac:dyDescent="0.3">
      <c r="B25">
        <v>23</v>
      </c>
      <c r="C25">
        <v>27.3</v>
      </c>
      <c r="D25">
        <v>27.43</v>
      </c>
      <c r="E25">
        <f t="shared" si="0"/>
        <v>0.12999999999999901</v>
      </c>
      <c r="H25">
        <f t="shared" si="1"/>
        <v>4.761904761904725E-3</v>
      </c>
    </row>
    <row r="26" spans="2:8" x14ac:dyDescent="0.3">
      <c r="B26">
        <v>24</v>
      </c>
      <c r="C26">
        <v>28.1</v>
      </c>
      <c r="D26">
        <v>28.17</v>
      </c>
      <c r="E26">
        <f t="shared" si="0"/>
        <v>7.0000000000000284E-2</v>
      </c>
      <c r="H26">
        <f t="shared" si="1"/>
        <v>2.491103202846985E-3</v>
      </c>
    </row>
    <row r="27" spans="2:8" x14ac:dyDescent="0.3">
      <c r="B27">
        <v>25</v>
      </c>
      <c r="C27">
        <v>28.9</v>
      </c>
      <c r="D27">
        <v>29.03</v>
      </c>
      <c r="E27">
        <f t="shared" si="0"/>
        <v>0.13000000000000256</v>
      </c>
      <c r="H27">
        <f t="shared" si="1"/>
        <v>4.4982698961938605E-3</v>
      </c>
    </row>
    <row r="28" spans="2:8" x14ac:dyDescent="0.3">
      <c r="B28">
        <v>26</v>
      </c>
      <c r="C28">
        <v>30.6</v>
      </c>
      <c r="D28">
        <v>30.65</v>
      </c>
      <c r="E28">
        <f t="shared" si="0"/>
        <v>4.9999999999997158E-2</v>
      </c>
      <c r="H28">
        <f t="shared" si="1"/>
        <v>1.6339869281044822E-3</v>
      </c>
    </row>
    <row r="29" spans="2:8" x14ac:dyDescent="0.3">
      <c r="B29">
        <v>27</v>
      </c>
      <c r="C29">
        <v>32.799999999999997</v>
      </c>
      <c r="D29">
        <v>33.049999999999997</v>
      </c>
      <c r="E29">
        <f t="shared" si="0"/>
        <v>0.25</v>
      </c>
      <c r="H29">
        <f t="shared" si="1"/>
        <v>7.6219512195121958E-3</v>
      </c>
    </row>
    <row r="30" spans="2:8" x14ac:dyDescent="0.3">
      <c r="B30">
        <v>28</v>
      </c>
      <c r="C30">
        <v>34.4</v>
      </c>
      <c r="D30">
        <v>34.33</v>
      </c>
      <c r="E30">
        <f t="shared" si="0"/>
        <v>7.0000000000000284E-2</v>
      </c>
      <c r="H30">
        <f t="shared" si="1"/>
        <v>2.0348837209302408E-3</v>
      </c>
    </row>
    <row r="31" spans="2:8" x14ac:dyDescent="0.3">
      <c r="B31">
        <v>29</v>
      </c>
      <c r="C31">
        <v>37.5</v>
      </c>
      <c r="D31">
        <v>37.69</v>
      </c>
      <c r="E31">
        <f t="shared" si="0"/>
        <v>0.18999999999999773</v>
      </c>
      <c r="H31">
        <f t="shared" si="1"/>
        <v>5.0666666666666057E-3</v>
      </c>
    </row>
    <row r="32" spans="2:8" x14ac:dyDescent="0.3">
      <c r="B32">
        <v>30</v>
      </c>
      <c r="C32">
        <v>39.299999999999997</v>
      </c>
      <c r="D32">
        <v>39.229999999999997</v>
      </c>
      <c r="E32">
        <f t="shared" si="0"/>
        <v>7.0000000000000284E-2</v>
      </c>
      <c r="H32">
        <f t="shared" si="1"/>
        <v>1.7811704834605673E-3</v>
      </c>
    </row>
    <row r="33" spans="2:8" x14ac:dyDescent="0.3">
      <c r="B33">
        <v>31</v>
      </c>
      <c r="C33">
        <v>40.6</v>
      </c>
      <c r="D33">
        <v>40.89</v>
      </c>
      <c r="E33">
        <f t="shared" si="0"/>
        <v>0.28999999999999915</v>
      </c>
      <c r="H33">
        <f t="shared" si="1"/>
        <v>7.1428571428571218E-3</v>
      </c>
    </row>
    <row r="34" spans="2:8" x14ac:dyDescent="0.3">
      <c r="B34">
        <v>32</v>
      </c>
      <c r="C34">
        <v>43.7</v>
      </c>
      <c r="D34">
        <v>43.79</v>
      </c>
      <c r="E34">
        <f t="shared" si="0"/>
        <v>8.9999999999996305E-2</v>
      </c>
      <c r="H34">
        <f t="shared" si="1"/>
        <v>2.0594965675056363E-3</v>
      </c>
    </row>
    <row r="35" spans="2:8" x14ac:dyDescent="0.3">
      <c r="B35">
        <v>33</v>
      </c>
      <c r="C35">
        <v>44.7</v>
      </c>
      <c r="D35">
        <v>44.75</v>
      </c>
      <c r="E35">
        <f t="shared" si="0"/>
        <v>4.9999999999997158E-2</v>
      </c>
      <c r="H35">
        <f t="shared" si="1"/>
        <v>1.1185682326621288E-3</v>
      </c>
    </row>
    <row r="36" spans="2:8" x14ac:dyDescent="0.3">
      <c r="B36">
        <v>34</v>
      </c>
      <c r="C36">
        <v>46.6</v>
      </c>
      <c r="D36">
        <v>46.53</v>
      </c>
      <c r="E36">
        <f t="shared" si="0"/>
        <v>7.0000000000000284E-2</v>
      </c>
      <c r="H36">
        <f t="shared" si="1"/>
        <v>1.5021459227467873E-3</v>
      </c>
    </row>
    <row r="37" spans="2:8" x14ac:dyDescent="0.3">
      <c r="B37">
        <v>35</v>
      </c>
      <c r="C37">
        <v>47.7</v>
      </c>
      <c r="D37">
        <v>47.91</v>
      </c>
      <c r="E37">
        <f t="shared" si="0"/>
        <v>0.20999999999999375</v>
      </c>
      <c r="H37">
        <f t="shared" si="1"/>
        <v>4.4025157232703092E-3</v>
      </c>
    </row>
    <row r="38" spans="2:8" x14ac:dyDescent="0.3">
      <c r="B38">
        <v>36</v>
      </c>
      <c r="C38">
        <v>49.2</v>
      </c>
      <c r="D38">
        <v>49.17</v>
      </c>
      <c r="E38">
        <f t="shared" si="0"/>
        <v>3.0000000000001137E-2</v>
      </c>
      <c r="H38">
        <f t="shared" si="1"/>
        <v>6.097560975609987E-4</v>
      </c>
    </row>
    <row r="39" spans="2:8" x14ac:dyDescent="0.3">
      <c r="B39">
        <v>37</v>
      </c>
      <c r="C39">
        <v>51.2</v>
      </c>
      <c r="D39">
        <v>51.45</v>
      </c>
      <c r="E39">
        <f t="shared" si="0"/>
        <v>0.25</v>
      </c>
      <c r="H39">
        <f t="shared" si="1"/>
        <v>4.8828125E-3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CBD1-A0A2-4DE5-B791-8D4CBAB11E92}">
  <dimension ref="B2:O40"/>
  <sheetViews>
    <sheetView workbookViewId="0">
      <selection activeCell="I3" sqref="I3"/>
    </sheetView>
  </sheetViews>
  <sheetFormatPr defaultRowHeight="14.4" x14ac:dyDescent="0.3"/>
  <sheetData>
    <row r="2" spans="2:15" x14ac:dyDescent="0.3">
      <c r="B2" t="s">
        <v>7</v>
      </c>
      <c r="C2" t="s">
        <v>46</v>
      </c>
      <c r="D2" t="s">
        <v>47</v>
      </c>
      <c r="E2" t="s">
        <v>43</v>
      </c>
      <c r="H2" t="s">
        <v>55</v>
      </c>
      <c r="I2" t="s">
        <v>53</v>
      </c>
      <c r="J2" t="s">
        <v>54</v>
      </c>
      <c r="K2" t="s">
        <v>48</v>
      </c>
      <c r="L2" t="s">
        <v>51</v>
      </c>
      <c r="M2" t="s">
        <v>52</v>
      </c>
    </row>
    <row r="3" spans="2:15" x14ac:dyDescent="0.3">
      <c r="B3">
        <v>1</v>
      </c>
      <c r="C3">
        <v>0.1</v>
      </c>
      <c r="D3">
        <v>0.1</v>
      </c>
      <c r="E3">
        <f>ABS(D3-C3)</f>
        <v>0</v>
      </c>
      <c r="F3">
        <f>MAX(C3:C40)-MIN(C3:C40)</f>
        <v>1795.4</v>
      </c>
      <c r="H3">
        <f>ABS(D3-C3)/C3</f>
        <v>0</v>
      </c>
      <c r="I3">
        <f>AVERAGE(H3:H40)*100</f>
        <v>1.7018397409802493</v>
      </c>
      <c r="J3">
        <f>100-I3</f>
        <v>98.298160259019753</v>
      </c>
      <c r="K3">
        <f>AVERAGE(E3:E40)</f>
        <v>20.978947368421046</v>
      </c>
      <c r="L3">
        <f>K3/F3*100</f>
        <v>1.1684831997561014</v>
      </c>
      <c r="M3">
        <f>(MAX(E3:E40)/F3)*100</f>
        <v>3.7261891500501334</v>
      </c>
    </row>
    <row r="4" spans="2:15" x14ac:dyDescent="0.3">
      <c r="B4">
        <v>2</v>
      </c>
      <c r="C4">
        <v>59.4</v>
      </c>
      <c r="D4">
        <v>59.7</v>
      </c>
      <c r="E4">
        <f t="shared" ref="E4:E40" si="0">ABS(D4-C4)</f>
        <v>0.30000000000000426</v>
      </c>
      <c r="F4">
        <f>(MAX(E3:E40)/F3)*100</f>
        <v>3.7261891500501334</v>
      </c>
      <c r="H4">
        <f t="shared" ref="H4:H40" si="1">ABS(D4-C4)/C4</f>
        <v>5.0505050505051221E-3</v>
      </c>
    </row>
    <row r="5" spans="2:15" x14ac:dyDescent="0.3">
      <c r="B5">
        <v>3</v>
      </c>
      <c r="C5">
        <v>109.9</v>
      </c>
      <c r="D5">
        <v>111.2</v>
      </c>
      <c r="E5">
        <f t="shared" si="0"/>
        <v>1.2999999999999972</v>
      </c>
      <c r="H5">
        <f t="shared" si="1"/>
        <v>1.1828935395814351E-2</v>
      </c>
    </row>
    <row r="6" spans="2:15" x14ac:dyDescent="0.3">
      <c r="B6">
        <v>4</v>
      </c>
      <c r="C6">
        <v>159.80000000000001</v>
      </c>
      <c r="D6">
        <v>159.9</v>
      </c>
      <c r="E6">
        <f t="shared" si="0"/>
        <v>9.9999999999994316E-2</v>
      </c>
      <c r="H6">
        <f t="shared" si="1"/>
        <v>6.2578222778469526E-4</v>
      </c>
    </row>
    <row r="7" spans="2:15" x14ac:dyDescent="0.3">
      <c r="B7">
        <v>5</v>
      </c>
      <c r="C7">
        <v>209.3</v>
      </c>
      <c r="D7">
        <v>209.6</v>
      </c>
      <c r="E7">
        <f t="shared" si="0"/>
        <v>0.29999999999998295</v>
      </c>
      <c r="H7">
        <f t="shared" si="1"/>
        <v>1.4333492594361345E-3</v>
      </c>
    </row>
    <row r="8" spans="2:15" x14ac:dyDescent="0.3">
      <c r="B8">
        <v>6</v>
      </c>
      <c r="C8">
        <v>259</v>
      </c>
      <c r="D8">
        <v>260.39999999999998</v>
      </c>
      <c r="E8">
        <f t="shared" si="0"/>
        <v>1.3999999999999773</v>
      </c>
      <c r="H8">
        <f t="shared" si="1"/>
        <v>5.4054054054053172E-3</v>
      </c>
    </row>
    <row r="9" spans="2:15" x14ac:dyDescent="0.3">
      <c r="B9">
        <v>7</v>
      </c>
      <c r="C9">
        <v>308.10000000000002</v>
      </c>
      <c r="D9">
        <v>309.2</v>
      </c>
      <c r="E9">
        <f t="shared" si="0"/>
        <v>1.0999999999999659</v>
      </c>
      <c r="H9">
        <f t="shared" si="1"/>
        <v>3.5702693930540924E-3</v>
      </c>
    </row>
    <row r="10" spans="2:15" x14ac:dyDescent="0.3">
      <c r="B10">
        <v>8</v>
      </c>
      <c r="C10">
        <v>358.7</v>
      </c>
      <c r="D10">
        <v>362.6</v>
      </c>
      <c r="E10">
        <f t="shared" si="0"/>
        <v>3.9000000000000341</v>
      </c>
      <c r="H10">
        <f t="shared" si="1"/>
        <v>1.0872595483691202E-2</v>
      </c>
    </row>
    <row r="11" spans="2:15" x14ac:dyDescent="0.3">
      <c r="B11">
        <v>9</v>
      </c>
      <c r="C11">
        <v>408.1</v>
      </c>
      <c r="D11">
        <v>411</v>
      </c>
      <c r="E11">
        <f t="shared" si="0"/>
        <v>2.8999999999999773</v>
      </c>
      <c r="H11">
        <f t="shared" si="1"/>
        <v>7.1061014457240316E-3</v>
      </c>
    </row>
    <row r="12" spans="2:15" x14ac:dyDescent="0.3">
      <c r="B12">
        <v>10</v>
      </c>
      <c r="C12">
        <v>460</v>
      </c>
      <c r="D12">
        <v>463.4</v>
      </c>
      <c r="E12">
        <f t="shared" si="0"/>
        <v>3.3999999999999773</v>
      </c>
      <c r="H12">
        <f t="shared" si="1"/>
        <v>7.3913043478260375E-3</v>
      </c>
      <c r="O12">
        <f>MAX(E3:E40)</f>
        <v>66.900000000000091</v>
      </c>
    </row>
    <row r="13" spans="2:15" x14ac:dyDescent="0.3">
      <c r="B13">
        <v>11</v>
      </c>
      <c r="C13">
        <v>507.7</v>
      </c>
      <c r="D13">
        <v>512.20000000000005</v>
      </c>
      <c r="E13">
        <f t="shared" si="0"/>
        <v>4.5000000000000568</v>
      </c>
      <c r="H13">
        <f t="shared" si="1"/>
        <v>8.8635020681505951E-3</v>
      </c>
    </row>
    <row r="14" spans="2:15" x14ac:dyDescent="0.3">
      <c r="B14">
        <v>12</v>
      </c>
      <c r="C14">
        <v>557.29999999999995</v>
      </c>
      <c r="D14">
        <v>562</v>
      </c>
      <c r="E14">
        <f t="shared" si="0"/>
        <v>4.7000000000000455</v>
      </c>
      <c r="H14">
        <f t="shared" si="1"/>
        <v>8.43351875112156E-3</v>
      </c>
    </row>
    <row r="15" spans="2:15" x14ac:dyDescent="0.3">
      <c r="B15">
        <v>13</v>
      </c>
      <c r="C15">
        <v>607.29999999999995</v>
      </c>
      <c r="D15">
        <v>616.79999999999995</v>
      </c>
      <c r="E15">
        <f t="shared" si="0"/>
        <v>9.5</v>
      </c>
      <c r="H15">
        <f t="shared" si="1"/>
        <v>1.5643010044459081E-2</v>
      </c>
    </row>
    <row r="16" spans="2:15" x14ac:dyDescent="0.3">
      <c r="B16">
        <v>14</v>
      </c>
      <c r="C16">
        <v>656.2</v>
      </c>
      <c r="D16">
        <v>666</v>
      </c>
      <c r="E16">
        <f t="shared" si="0"/>
        <v>9.7999999999999545</v>
      </c>
      <c r="H16">
        <f t="shared" si="1"/>
        <v>1.4934471197805476E-2</v>
      </c>
    </row>
    <row r="17" spans="2:8" x14ac:dyDescent="0.3">
      <c r="B17">
        <v>15</v>
      </c>
      <c r="C17">
        <v>706.6</v>
      </c>
      <c r="D17">
        <v>715.9</v>
      </c>
      <c r="E17">
        <f t="shared" si="0"/>
        <v>9.2999999999999545</v>
      </c>
      <c r="H17">
        <f t="shared" si="1"/>
        <v>1.3161619020662261E-2</v>
      </c>
    </row>
    <row r="18" spans="2:8" x14ac:dyDescent="0.3">
      <c r="B18">
        <v>16</v>
      </c>
      <c r="C18">
        <v>757.9</v>
      </c>
      <c r="D18">
        <v>760.5</v>
      </c>
      <c r="E18">
        <f t="shared" si="0"/>
        <v>2.6000000000000227</v>
      </c>
      <c r="H18">
        <f t="shared" si="1"/>
        <v>3.4305317324185552E-3</v>
      </c>
    </row>
    <row r="19" spans="2:8" x14ac:dyDescent="0.3">
      <c r="B19">
        <v>17</v>
      </c>
      <c r="C19">
        <v>805.6</v>
      </c>
      <c r="D19">
        <v>819.2</v>
      </c>
      <c r="E19">
        <f t="shared" si="0"/>
        <v>13.600000000000023</v>
      </c>
      <c r="H19">
        <f t="shared" si="1"/>
        <v>1.6881827209533296E-2</v>
      </c>
    </row>
    <row r="20" spans="2:8" x14ac:dyDescent="0.3">
      <c r="B20">
        <v>18</v>
      </c>
      <c r="C20">
        <v>858.4</v>
      </c>
      <c r="D20">
        <v>870.8</v>
      </c>
      <c r="E20">
        <f t="shared" si="0"/>
        <v>12.399999999999977</v>
      </c>
      <c r="H20">
        <f t="shared" si="1"/>
        <v>1.4445479962721317E-2</v>
      </c>
    </row>
    <row r="21" spans="2:8" x14ac:dyDescent="0.3">
      <c r="B21">
        <v>19</v>
      </c>
      <c r="C21">
        <v>906</v>
      </c>
      <c r="D21">
        <v>916.2</v>
      </c>
      <c r="E21">
        <f t="shared" si="0"/>
        <v>10.200000000000045</v>
      </c>
      <c r="H21">
        <f t="shared" si="1"/>
        <v>1.1258278145695414E-2</v>
      </c>
    </row>
    <row r="22" spans="2:8" x14ac:dyDescent="0.3">
      <c r="B22">
        <v>20</v>
      </c>
      <c r="C22">
        <v>955.6</v>
      </c>
      <c r="D22">
        <v>969.8</v>
      </c>
      <c r="E22">
        <f t="shared" si="0"/>
        <v>14.199999999999932</v>
      </c>
      <c r="H22">
        <f t="shared" si="1"/>
        <v>1.4859773964001602E-2</v>
      </c>
    </row>
    <row r="23" spans="2:8" x14ac:dyDescent="0.3">
      <c r="B23">
        <v>21</v>
      </c>
      <c r="C23">
        <v>1006</v>
      </c>
      <c r="D23">
        <v>1021.7</v>
      </c>
      <c r="E23">
        <f t="shared" si="0"/>
        <v>15.700000000000045</v>
      </c>
      <c r="H23">
        <f t="shared" si="1"/>
        <v>1.560636182902589E-2</v>
      </c>
    </row>
    <row r="24" spans="2:8" x14ac:dyDescent="0.3">
      <c r="B24">
        <v>22</v>
      </c>
      <c r="C24">
        <v>1054.4000000000001</v>
      </c>
      <c r="D24">
        <v>1072.4000000000001</v>
      </c>
      <c r="E24">
        <f t="shared" si="0"/>
        <v>18</v>
      </c>
      <c r="H24">
        <f t="shared" si="1"/>
        <v>1.707132018209408E-2</v>
      </c>
    </row>
    <row r="25" spans="2:8" x14ac:dyDescent="0.3">
      <c r="B25">
        <v>23</v>
      </c>
      <c r="C25">
        <v>1105.2</v>
      </c>
      <c r="D25">
        <v>1126.2</v>
      </c>
      <c r="E25">
        <f t="shared" si="0"/>
        <v>21</v>
      </c>
      <c r="H25">
        <f t="shared" si="1"/>
        <v>1.9001085776330074E-2</v>
      </c>
    </row>
    <row r="26" spans="2:8" x14ac:dyDescent="0.3">
      <c r="B26">
        <v>24</v>
      </c>
      <c r="C26">
        <v>1157.7</v>
      </c>
      <c r="D26">
        <v>1181.4000000000001</v>
      </c>
      <c r="E26">
        <f t="shared" si="0"/>
        <v>23.700000000000045</v>
      </c>
      <c r="H26">
        <f t="shared" si="1"/>
        <v>2.0471624773257358E-2</v>
      </c>
    </row>
    <row r="27" spans="2:8" x14ac:dyDescent="0.3">
      <c r="B27">
        <v>25</v>
      </c>
      <c r="C27">
        <v>1205.9000000000001</v>
      </c>
      <c r="D27">
        <v>1231.9000000000001</v>
      </c>
      <c r="E27">
        <f t="shared" si="0"/>
        <v>26</v>
      </c>
      <c r="H27">
        <f t="shared" si="1"/>
        <v>2.156066008790115E-2</v>
      </c>
    </row>
    <row r="28" spans="2:8" x14ac:dyDescent="0.3">
      <c r="B28">
        <v>26</v>
      </c>
      <c r="C28">
        <v>1252.4000000000001</v>
      </c>
      <c r="D28">
        <v>1279.7</v>
      </c>
      <c r="E28">
        <f t="shared" si="0"/>
        <v>27.299999999999955</v>
      </c>
      <c r="H28">
        <f t="shared" si="1"/>
        <v>2.1798147556691114E-2</v>
      </c>
    </row>
    <row r="29" spans="2:8" x14ac:dyDescent="0.3">
      <c r="B29">
        <v>27</v>
      </c>
      <c r="C29">
        <v>1303.3</v>
      </c>
      <c r="D29">
        <v>1325.3</v>
      </c>
      <c r="E29">
        <f t="shared" si="0"/>
        <v>22</v>
      </c>
      <c r="H29">
        <f t="shared" si="1"/>
        <v>1.6880227115783013E-2</v>
      </c>
    </row>
    <row r="30" spans="2:8" x14ac:dyDescent="0.3">
      <c r="B30">
        <v>28</v>
      </c>
      <c r="C30">
        <v>1352.3</v>
      </c>
      <c r="D30">
        <v>1390.2</v>
      </c>
      <c r="E30">
        <f t="shared" si="0"/>
        <v>37.900000000000091</v>
      </c>
      <c r="H30">
        <f t="shared" si="1"/>
        <v>2.802632551948539E-2</v>
      </c>
    </row>
    <row r="31" spans="2:8" x14ac:dyDescent="0.3">
      <c r="B31">
        <v>29</v>
      </c>
      <c r="C31">
        <v>1402.8</v>
      </c>
      <c r="D31">
        <v>1440.7</v>
      </c>
      <c r="E31">
        <f t="shared" si="0"/>
        <v>37.900000000000091</v>
      </c>
      <c r="H31">
        <f t="shared" si="1"/>
        <v>2.7017393783860914E-2</v>
      </c>
    </row>
    <row r="32" spans="2:8" x14ac:dyDescent="0.3">
      <c r="B32">
        <v>30</v>
      </c>
      <c r="C32">
        <v>1452.2</v>
      </c>
      <c r="D32">
        <v>1496.6</v>
      </c>
      <c r="E32">
        <f t="shared" si="0"/>
        <v>44.399999999999864</v>
      </c>
      <c r="H32">
        <f t="shared" si="1"/>
        <v>3.0574301060459896E-2</v>
      </c>
    </row>
    <row r="33" spans="2:8" x14ac:dyDescent="0.3">
      <c r="B33">
        <v>31</v>
      </c>
      <c r="C33">
        <v>1503.5</v>
      </c>
      <c r="D33">
        <v>1544.5</v>
      </c>
      <c r="E33">
        <f t="shared" si="0"/>
        <v>41</v>
      </c>
      <c r="H33">
        <f t="shared" si="1"/>
        <v>2.726970402394413E-2</v>
      </c>
    </row>
    <row r="34" spans="2:8" x14ac:dyDescent="0.3">
      <c r="B34">
        <v>32</v>
      </c>
      <c r="C34">
        <v>1551.3</v>
      </c>
      <c r="D34">
        <v>1594</v>
      </c>
      <c r="E34">
        <f t="shared" si="0"/>
        <v>42.700000000000045</v>
      </c>
      <c r="H34">
        <f t="shared" si="1"/>
        <v>2.7525301360149582E-2</v>
      </c>
    </row>
    <row r="35" spans="2:8" x14ac:dyDescent="0.3">
      <c r="B35">
        <v>33</v>
      </c>
      <c r="C35">
        <v>1602</v>
      </c>
      <c r="D35">
        <v>1640.1</v>
      </c>
      <c r="E35">
        <f t="shared" si="0"/>
        <v>38.099999999999909</v>
      </c>
      <c r="H35">
        <f t="shared" si="1"/>
        <v>2.3782771535580467E-2</v>
      </c>
    </row>
    <row r="36" spans="2:8" x14ac:dyDescent="0.3">
      <c r="B36">
        <v>34</v>
      </c>
      <c r="C36">
        <v>1603.3</v>
      </c>
      <c r="D36">
        <v>1670.2</v>
      </c>
      <c r="E36">
        <f t="shared" si="0"/>
        <v>66.900000000000091</v>
      </c>
      <c r="H36">
        <f t="shared" si="1"/>
        <v>4.1726439219110643E-2</v>
      </c>
    </row>
    <row r="37" spans="2:8" x14ac:dyDescent="0.3">
      <c r="B37">
        <v>35</v>
      </c>
      <c r="C37">
        <v>1650.8</v>
      </c>
      <c r="D37">
        <v>1708.8</v>
      </c>
      <c r="E37">
        <f t="shared" si="0"/>
        <v>58</v>
      </c>
      <c r="H37">
        <f t="shared" si="1"/>
        <v>3.5134480251999028E-2</v>
      </c>
    </row>
    <row r="38" spans="2:8" x14ac:dyDescent="0.3">
      <c r="B38">
        <v>36</v>
      </c>
      <c r="C38">
        <v>1700.4</v>
      </c>
      <c r="D38">
        <v>1759.3</v>
      </c>
      <c r="E38">
        <f t="shared" si="0"/>
        <v>58.899999999999864</v>
      </c>
      <c r="H38">
        <f t="shared" si="1"/>
        <v>3.4638908492119418E-2</v>
      </c>
    </row>
    <row r="39" spans="2:8" x14ac:dyDescent="0.3">
      <c r="B39">
        <v>37</v>
      </c>
      <c r="C39">
        <v>1747.9</v>
      </c>
      <c r="D39">
        <v>1809.1</v>
      </c>
      <c r="E39">
        <f t="shared" si="0"/>
        <v>61.199999999999818</v>
      </c>
      <c r="H39">
        <f t="shared" si="1"/>
        <v>3.5013444705074552E-2</v>
      </c>
    </row>
    <row r="40" spans="2:8" x14ac:dyDescent="0.3">
      <c r="B40">
        <v>38</v>
      </c>
      <c r="C40">
        <v>1795.5</v>
      </c>
      <c r="D40">
        <v>1846.5</v>
      </c>
      <c r="E40">
        <f t="shared" si="0"/>
        <v>51</v>
      </c>
      <c r="H40">
        <f t="shared" si="1"/>
        <v>2.8404344193817876E-2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8E2F-38C2-4A77-9F17-5FBCED29FB55}">
  <dimension ref="B3:H13"/>
  <sheetViews>
    <sheetView workbookViewId="0">
      <selection activeCell="P12" sqref="P12"/>
    </sheetView>
  </sheetViews>
  <sheetFormatPr defaultRowHeight="14.4" x14ac:dyDescent="0.3"/>
  <sheetData>
    <row r="3" spans="2:8" x14ac:dyDescent="0.3">
      <c r="B3" t="s">
        <v>7</v>
      </c>
      <c r="C3" t="s">
        <v>11</v>
      </c>
      <c r="H3">
        <v>1</v>
      </c>
    </row>
    <row r="4" spans="2:8" x14ac:dyDescent="0.3">
      <c r="B4">
        <v>1</v>
      </c>
      <c r="C4">
        <v>1</v>
      </c>
      <c r="H4">
        <v>1</v>
      </c>
    </row>
    <row r="5" spans="2:8" x14ac:dyDescent="0.3">
      <c r="B5">
        <v>2</v>
      </c>
      <c r="C5">
        <v>1</v>
      </c>
      <c r="H5">
        <v>1</v>
      </c>
    </row>
    <row r="6" spans="2:8" x14ac:dyDescent="0.3">
      <c r="B6">
        <v>3</v>
      </c>
      <c r="C6">
        <v>10</v>
      </c>
      <c r="E6">
        <f>_xlfn.STDEV.S(C4:C13)</f>
        <v>7.5945887168284347</v>
      </c>
      <c r="F6">
        <f>E6/SQRT(10)</f>
        <v>2.4016198237393396</v>
      </c>
      <c r="H6">
        <v>1.5</v>
      </c>
    </row>
    <row r="7" spans="2:8" x14ac:dyDescent="0.3">
      <c r="B7">
        <v>4</v>
      </c>
      <c r="C7">
        <v>2</v>
      </c>
      <c r="H7">
        <v>1.5</v>
      </c>
    </row>
    <row r="8" spans="2:8" x14ac:dyDescent="0.3">
      <c r="B8">
        <v>5</v>
      </c>
      <c r="C8">
        <v>1.5</v>
      </c>
      <c r="E8">
        <f>AVERAGE(C4:C13)</f>
        <v>5.2</v>
      </c>
      <c r="H8">
        <v>2</v>
      </c>
    </row>
    <row r="9" spans="2:8" x14ac:dyDescent="0.3">
      <c r="B9">
        <v>6</v>
      </c>
      <c r="C9">
        <v>25</v>
      </c>
      <c r="H9">
        <v>2</v>
      </c>
    </row>
    <row r="10" spans="2:8" x14ac:dyDescent="0.3">
      <c r="B10">
        <v>7</v>
      </c>
      <c r="C10">
        <v>1.5</v>
      </c>
      <c r="H10">
        <v>7</v>
      </c>
    </row>
    <row r="11" spans="2:8" x14ac:dyDescent="0.3">
      <c r="B11">
        <v>8</v>
      </c>
      <c r="C11">
        <v>7</v>
      </c>
      <c r="E11" t="s">
        <v>12</v>
      </c>
      <c r="H11">
        <v>10</v>
      </c>
    </row>
    <row r="12" spans="2:8" x14ac:dyDescent="0.3">
      <c r="B12">
        <v>9</v>
      </c>
      <c r="C12">
        <v>2</v>
      </c>
      <c r="H12">
        <v>25</v>
      </c>
    </row>
    <row r="13" spans="2:8" x14ac:dyDescent="0.3">
      <c r="B13">
        <v>10</v>
      </c>
      <c r="C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EEC8-3C37-4B70-847B-4CF59C371A31}">
  <dimension ref="B3:M21"/>
  <sheetViews>
    <sheetView workbookViewId="0">
      <selection activeCell="K15" sqref="K15"/>
    </sheetView>
  </sheetViews>
  <sheetFormatPr defaultRowHeight="14.4" x14ac:dyDescent="0.3"/>
  <sheetData>
    <row r="3" spans="2:13" x14ac:dyDescent="0.3">
      <c r="B3" t="s">
        <v>13</v>
      </c>
    </row>
    <row r="4" spans="2:13" x14ac:dyDescent="0.3">
      <c r="B4" t="s">
        <v>14</v>
      </c>
      <c r="L4" t="s">
        <v>29</v>
      </c>
    </row>
    <row r="5" spans="2:13" x14ac:dyDescent="0.3">
      <c r="B5" t="s">
        <v>15</v>
      </c>
      <c r="L5">
        <v>501</v>
      </c>
      <c r="M5">
        <v>483</v>
      </c>
    </row>
    <row r="6" spans="2:13" x14ac:dyDescent="0.3">
      <c r="B6" t="s">
        <v>16</v>
      </c>
      <c r="L6">
        <f>(L5-M5)/L5*100</f>
        <v>3.5928143712574849</v>
      </c>
    </row>
    <row r="8" spans="2:13" x14ac:dyDescent="0.3">
      <c r="B8" t="s">
        <v>17</v>
      </c>
      <c r="L8" t="s">
        <v>30</v>
      </c>
    </row>
    <row r="9" spans="2:13" x14ac:dyDescent="0.3">
      <c r="B9" t="s">
        <v>18</v>
      </c>
      <c r="L9">
        <v>501</v>
      </c>
      <c r="M9">
        <v>501</v>
      </c>
    </row>
    <row r="10" spans="2:13" x14ac:dyDescent="0.3">
      <c r="B10" t="s">
        <v>19</v>
      </c>
      <c r="L10">
        <f>(L9-M9)/L9*100</f>
        <v>0</v>
      </c>
    </row>
    <row r="11" spans="2:13" x14ac:dyDescent="0.3">
      <c r="B11" t="s">
        <v>20</v>
      </c>
    </row>
    <row r="12" spans="2:13" x14ac:dyDescent="0.3">
      <c r="B12" t="s">
        <v>21</v>
      </c>
    </row>
    <row r="13" spans="2:13" x14ac:dyDescent="0.3">
      <c r="B13" t="s">
        <v>22</v>
      </c>
    </row>
    <row r="14" spans="2:13" x14ac:dyDescent="0.3">
      <c r="B14" t="s">
        <v>23</v>
      </c>
    </row>
    <row r="15" spans="2:13" x14ac:dyDescent="0.3">
      <c r="B15" t="s">
        <v>24</v>
      </c>
    </row>
    <row r="16" spans="2:13" x14ac:dyDescent="0.3">
      <c r="B16" t="s">
        <v>19</v>
      </c>
    </row>
    <row r="17" spans="2:2" x14ac:dyDescent="0.3">
      <c r="B17" t="s">
        <v>25</v>
      </c>
    </row>
    <row r="18" spans="2:2" x14ac:dyDescent="0.3">
      <c r="B18" t="s">
        <v>26</v>
      </c>
    </row>
    <row r="19" spans="2:2" x14ac:dyDescent="0.3">
      <c r="B19" t="s">
        <v>22</v>
      </c>
    </row>
    <row r="20" spans="2:2" x14ac:dyDescent="0.3">
      <c r="B20" t="s">
        <v>27</v>
      </c>
    </row>
    <row r="21" spans="2:2" x14ac:dyDescent="0.3">
      <c r="B21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F24C-AABC-43DA-AC34-B087D531D7FE}">
  <dimension ref="B2:S24"/>
  <sheetViews>
    <sheetView workbookViewId="0">
      <selection activeCell="F3" sqref="F3"/>
    </sheetView>
  </sheetViews>
  <sheetFormatPr defaultRowHeight="14.4" x14ac:dyDescent="0.3"/>
  <sheetData>
    <row r="2" spans="2:19" x14ac:dyDescent="0.3">
      <c r="B2" t="s">
        <v>0</v>
      </c>
      <c r="E2" t="s">
        <v>33</v>
      </c>
      <c r="F2" t="s">
        <v>35</v>
      </c>
      <c r="G2" t="s">
        <v>34</v>
      </c>
      <c r="I2" t="s">
        <v>33</v>
      </c>
      <c r="J2" t="s">
        <v>45</v>
      </c>
    </row>
    <row r="3" spans="2:19" x14ac:dyDescent="0.3">
      <c r="B3">
        <v>1</v>
      </c>
      <c r="C3">
        <v>16.2</v>
      </c>
      <c r="E3">
        <f>_xlfn.STDEV.S(C3:C7)</f>
        <v>5.6391488719487105E-2</v>
      </c>
      <c r="F3">
        <f>E3/SQRT(5)</f>
        <v>2.5219040425837145E-2</v>
      </c>
      <c r="G3">
        <f>F3/E6*100</f>
        <v>0.15638745148106875</v>
      </c>
      <c r="I3">
        <f>_xlfn.STDEV.S(C3:C7)</f>
        <v>5.6391488719487105E-2</v>
      </c>
      <c r="J3">
        <f>I3/I6*100</f>
        <v>0.34969297233961993</v>
      </c>
      <c r="N3">
        <v>4.0599999999999997E-2</v>
      </c>
      <c r="O3">
        <f>N3/15*100</f>
        <v>0.27066666666666667</v>
      </c>
    </row>
    <row r="4" spans="2:19" x14ac:dyDescent="0.3">
      <c r="B4">
        <v>2</v>
      </c>
      <c r="C4">
        <v>16.149999999999999</v>
      </c>
      <c r="R4">
        <v>5.6391488719487105E-2</v>
      </c>
      <c r="S4">
        <v>0.34969297233961993</v>
      </c>
    </row>
    <row r="5" spans="2:19" x14ac:dyDescent="0.3">
      <c r="B5">
        <v>3</v>
      </c>
      <c r="C5">
        <v>16.059999999999999</v>
      </c>
      <c r="E5" t="s">
        <v>36</v>
      </c>
      <c r="I5" t="s">
        <v>36</v>
      </c>
      <c r="R5">
        <v>0.71274118724822499</v>
      </c>
      <c r="S5">
        <v>0.27567927100186623</v>
      </c>
    </row>
    <row r="6" spans="2:19" x14ac:dyDescent="0.3">
      <c r="B6">
        <v>4</v>
      </c>
      <c r="C6">
        <v>16.079999999999998</v>
      </c>
      <c r="E6">
        <f>AVERAGE(C3:C7)</f>
        <v>16.125999999999998</v>
      </c>
      <c r="I6">
        <f>AVERAGE(C3:C7)</f>
        <v>16.125999999999998</v>
      </c>
      <c r="R6">
        <v>3.6331804249170298E-2</v>
      </c>
      <c r="S6">
        <v>0.12581135899013193</v>
      </c>
    </row>
    <row r="7" spans="2:19" x14ac:dyDescent="0.3">
      <c r="B7">
        <v>5</v>
      </c>
      <c r="C7">
        <v>16.14</v>
      </c>
    </row>
    <row r="9" spans="2:19" x14ac:dyDescent="0.3">
      <c r="B9" t="s">
        <v>4</v>
      </c>
      <c r="E9" t="s">
        <v>33</v>
      </c>
      <c r="F9" t="s">
        <v>35</v>
      </c>
      <c r="G9" t="s">
        <v>34</v>
      </c>
    </row>
    <row r="10" spans="2:19" x14ac:dyDescent="0.3">
      <c r="C10" t="s">
        <v>6</v>
      </c>
      <c r="E10">
        <f>_xlfn.STDEV.S(C11:C15)</f>
        <v>0.71274118724822499</v>
      </c>
      <c r="F10">
        <f t="shared" ref="F10:F18" si="0">E10/SQRT(5)</f>
        <v>0.31874754901018748</v>
      </c>
      <c r="G10">
        <f>F10/E13*100</f>
        <v>0.12328751798955188</v>
      </c>
      <c r="N10">
        <v>27.73</v>
      </c>
      <c r="P10">
        <f>_xlfn.STDEV.S(N10:N24)</f>
        <v>4.0567404226969507E-2</v>
      </c>
      <c r="Q10">
        <f>P10/P11*100</f>
        <v>0.1466539087085876</v>
      </c>
    </row>
    <row r="11" spans="2:19" x14ac:dyDescent="0.3">
      <c r="B11">
        <v>1</v>
      </c>
      <c r="C11">
        <v>259.60000000000002</v>
      </c>
      <c r="I11">
        <f>_xlfn.STDEV.S(C11:C15)</f>
        <v>0.71274118724822499</v>
      </c>
      <c r="J11">
        <f>I11/I12*100</f>
        <v>0.27567927100186623</v>
      </c>
      <c r="N11">
        <v>27.73</v>
      </c>
      <c r="P11">
        <f>AVERAGE(N10:N24)</f>
        <v>27.662000000000003</v>
      </c>
    </row>
    <row r="12" spans="2:19" x14ac:dyDescent="0.3">
      <c r="B12">
        <v>2</v>
      </c>
      <c r="C12">
        <v>257.8</v>
      </c>
      <c r="E12" t="s">
        <v>36</v>
      </c>
      <c r="I12">
        <f>AVERAGE(C11:C15)</f>
        <v>258.54000000000002</v>
      </c>
      <c r="N12">
        <v>27.69</v>
      </c>
    </row>
    <row r="13" spans="2:19" x14ac:dyDescent="0.3">
      <c r="B13">
        <v>3</v>
      </c>
      <c r="C13">
        <v>258.5</v>
      </c>
      <c r="E13">
        <f>AVERAGE(C11:C15)</f>
        <v>258.54000000000002</v>
      </c>
      <c r="N13">
        <v>27.69</v>
      </c>
    </row>
    <row r="14" spans="2:19" x14ac:dyDescent="0.3">
      <c r="B14">
        <v>4</v>
      </c>
      <c r="C14">
        <v>258.8</v>
      </c>
      <c r="N14">
        <v>27.67</v>
      </c>
    </row>
    <row r="15" spans="2:19" x14ac:dyDescent="0.3">
      <c r="B15">
        <v>5</v>
      </c>
      <c r="C15">
        <v>258</v>
      </c>
      <c r="N15">
        <v>27.63</v>
      </c>
    </row>
    <row r="16" spans="2:19" x14ac:dyDescent="0.3">
      <c r="N16">
        <v>27.67</v>
      </c>
    </row>
    <row r="17" spans="2:14" x14ac:dyDescent="0.3">
      <c r="B17" t="s">
        <v>10</v>
      </c>
      <c r="E17" t="s">
        <v>33</v>
      </c>
      <c r="F17" t="s">
        <v>35</v>
      </c>
      <c r="G17" t="s">
        <v>34</v>
      </c>
      <c r="N17">
        <v>27.69</v>
      </c>
    </row>
    <row r="18" spans="2:14" x14ac:dyDescent="0.3">
      <c r="B18">
        <v>1</v>
      </c>
      <c r="C18">
        <v>28.91</v>
      </c>
      <c r="E18">
        <f>_xlfn.STDEV.S(C18:C22)</f>
        <v>3.6331804249170298E-2</v>
      </c>
      <c r="F18">
        <f t="shared" si="0"/>
        <v>1.6248076809272097E-2</v>
      </c>
      <c r="G18">
        <f>F18/E21*100</f>
        <v>5.6264550208712856E-2</v>
      </c>
      <c r="I18">
        <f>_xlfn.STDEV.S(C18:C22)</f>
        <v>3.6331804249170298E-2</v>
      </c>
      <c r="J18">
        <f>I18/I19*100</f>
        <v>0.12581135899013193</v>
      </c>
      <c r="N18">
        <v>27.61</v>
      </c>
    </row>
    <row r="19" spans="2:14" x14ac:dyDescent="0.3">
      <c r="B19">
        <v>2</v>
      </c>
      <c r="C19">
        <v>28.91</v>
      </c>
      <c r="I19">
        <f>AVERAGE(C18:C22)</f>
        <v>28.877999999999997</v>
      </c>
      <c r="N19">
        <v>27.63</v>
      </c>
    </row>
    <row r="20" spans="2:14" x14ac:dyDescent="0.3">
      <c r="B20">
        <v>3</v>
      </c>
      <c r="C20">
        <v>28.85</v>
      </c>
      <c r="E20" t="s">
        <v>36</v>
      </c>
      <c r="N20">
        <v>27.61</v>
      </c>
    </row>
    <row r="21" spans="2:14" x14ac:dyDescent="0.3">
      <c r="B21">
        <v>4</v>
      </c>
      <c r="C21">
        <v>28.89</v>
      </c>
      <c r="E21">
        <f>AVERAGE(C18:C22)</f>
        <v>28.877999999999997</v>
      </c>
      <c r="N21">
        <v>27.67</v>
      </c>
    </row>
    <row r="22" spans="2:14" x14ac:dyDescent="0.3">
      <c r="B22">
        <v>5</v>
      </c>
      <c r="C22">
        <v>28.83</v>
      </c>
      <c r="N22">
        <v>27.63</v>
      </c>
    </row>
    <row r="23" spans="2:14" x14ac:dyDescent="0.3">
      <c r="N23">
        <v>27.61</v>
      </c>
    </row>
    <row r="24" spans="2:14" x14ac:dyDescent="0.3">
      <c r="N24">
        <v>27.67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969B-0BF7-4D42-BF23-DFBA470FEE16}">
  <dimension ref="B2:L22"/>
  <sheetViews>
    <sheetView tabSelected="1" workbookViewId="0">
      <selection activeCell="L3" sqref="L3"/>
    </sheetView>
  </sheetViews>
  <sheetFormatPr defaultRowHeight="14.4" x14ac:dyDescent="0.3"/>
  <cols>
    <col min="6" max="6" width="12" bestFit="1" customWidth="1"/>
  </cols>
  <sheetData>
    <row r="2" spans="2:12" x14ac:dyDescent="0.3">
      <c r="B2" t="s">
        <v>0</v>
      </c>
      <c r="D2" t="s">
        <v>56</v>
      </c>
      <c r="E2" t="s">
        <v>57</v>
      </c>
      <c r="F2" t="s">
        <v>33</v>
      </c>
      <c r="H2" t="s">
        <v>58</v>
      </c>
      <c r="J2" t="s">
        <v>33</v>
      </c>
      <c r="K2" t="s">
        <v>45</v>
      </c>
      <c r="L2" t="s">
        <v>59</v>
      </c>
    </row>
    <row r="3" spans="2:12" x14ac:dyDescent="0.3">
      <c r="B3">
        <v>1</v>
      </c>
      <c r="C3">
        <v>16.2</v>
      </c>
      <c r="D3">
        <f>AVERAGE(C3:C7)</f>
        <v>16.125999999999998</v>
      </c>
      <c r="E3">
        <f>(C3-$D$3)^2</f>
        <v>5.4760000000002394E-3</v>
      </c>
      <c r="F3">
        <f>SQRT(SUM(E3:E7)/(5-1))</f>
        <v>5.6391488719487105E-2</v>
      </c>
      <c r="H3">
        <f>C3^2</f>
        <v>262.44</v>
      </c>
      <c r="I3">
        <f>(SUM(C3:C7)^2)/5</f>
        <v>1300.2393799999998</v>
      </c>
      <c r="J3">
        <f>_xlfn.STDEV.S(C3:C7)</f>
        <v>5.6391488719487105E-2</v>
      </c>
      <c r="K3">
        <f>J3/D3*100</f>
        <v>0.34969297233961993</v>
      </c>
      <c r="L3">
        <f>2*J3/D3*100</f>
        <v>0.69938594467923987</v>
      </c>
    </row>
    <row r="4" spans="2:12" x14ac:dyDescent="0.3">
      <c r="B4">
        <v>2</v>
      </c>
      <c r="C4">
        <v>16.149999999999999</v>
      </c>
      <c r="E4">
        <f t="shared" ref="E4:E7" si="0">(C4-$D$3)^2</f>
        <v>5.7600000000004371E-4</v>
      </c>
      <c r="H4">
        <f t="shared" ref="H4:H7" si="1">C4^2</f>
        <v>260.82249999999993</v>
      </c>
      <c r="I4">
        <f>SQRT((H8-I3)/4)</f>
        <v>5.6391488719868335E-2</v>
      </c>
    </row>
    <row r="5" spans="2:12" x14ac:dyDescent="0.3">
      <c r="B5">
        <v>3</v>
      </c>
      <c r="C5">
        <v>16.059999999999999</v>
      </c>
      <c r="E5">
        <f t="shared" si="0"/>
        <v>4.3559999999998609E-3</v>
      </c>
      <c r="H5">
        <f t="shared" si="1"/>
        <v>257.92359999999996</v>
      </c>
    </row>
    <row r="6" spans="2:12" x14ac:dyDescent="0.3">
      <c r="B6">
        <v>4</v>
      </c>
      <c r="C6">
        <v>16.079999999999998</v>
      </c>
      <c r="E6">
        <f t="shared" si="0"/>
        <v>2.1159999999999426E-3</v>
      </c>
      <c r="H6">
        <f t="shared" si="1"/>
        <v>258.56639999999993</v>
      </c>
    </row>
    <row r="7" spans="2:12" x14ac:dyDescent="0.3">
      <c r="B7">
        <v>5</v>
      </c>
      <c r="C7">
        <v>16.14</v>
      </c>
      <c r="E7">
        <f t="shared" si="0"/>
        <v>1.9600000000008117E-4</v>
      </c>
      <c r="H7">
        <f t="shared" si="1"/>
        <v>260.49960000000004</v>
      </c>
    </row>
    <row r="8" spans="2:12" x14ac:dyDescent="0.3">
      <c r="H8">
        <f>SUM(H3:H7)</f>
        <v>1300.2520999999999</v>
      </c>
    </row>
    <row r="9" spans="2:12" x14ac:dyDescent="0.3">
      <c r="B9" t="s">
        <v>4</v>
      </c>
    </row>
    <row r="10" spans="2:12" x14ac:dyDescent="0.3">
      <c r="C10" t="s">
        <v>6</v>
      </c>
      <c r="J10" t="s">
        <v>33</v>
      </c>
      <c r="K10" t="s">
        <v>45</v>
      </c>
      <c r="L10" t="s">
        <v>59</v>
      </c>
    </row>
    <row r="11" spans="2:12" x14ac:dyDescent="0.3">
      <c r="B11">
        <v>1</v>
      </c>
      <c r="C11">
        <v>259.60000000000002</v>
      </c>
      <c r="D11">
        <f>AVERAGE(C11:C15)</f>
        <v>258.54000000000002</v>
      </c>
      <c r="J11">
        <f>_xlfn.STDEV.S(C11:C15)</f>
        <v>0.71274118724822499</v>
      </c>
      <c r="K11">
        <f>J11/D11*100</f>
        <v>0.27567927100186623</v>
      </c>
      <c r="L11">
        <f>2*J11/D11*100</f>
        <v>0.55135854200373247</v>
      </c>
    </row>
    <row r="12" spans="2:12" x14ac:dyDescent="0.3">
      <c r="B12">
        <v>2</v>
      </c>
      <c r="C12">
        <v>257.8</v>
      </c>
    </row>
    <row r="13" spans="2:12" x14ac:dyDescent="0.3">
      <c r="B13">
        <v>3</v>
      </c>
      <c r="C13">
        <v>258.5</v>
      </c>
    </row>
    <row r="14" spans="2:12" x14ac:dyDescent="0.3">
      <c r="B14">
        <v>4</v>
      </c>
      <c r="C14">
        <v>258.8</v>
      </c>
    </row>
    <row r="15" spans="2:12" x14ac:dyDescent="0.3">
      <c r="B15">
        <v>5</v>
      </c>
      <c r="C15">
        <v>258</v>
      </c>
    </row>
    <row r="17" spans="2:12" x14ac:dyDescent="0.3">
      <c r="B17" t="s">
        <v>10</v>
      </c>
      <c r="J17" t="s">
        <v>33</v>
      </c>
      <c r="K17" t="s">
        <v>45</v>
      </c>
      <c r="L17" t="s">
        <v>59</v>
      </c>
    </row>
    <row r="18" spans="2:12" x14ac:dyDescent="0.3">
      <c r="B18">
        <v>1</v>
      </c>
      <c r="C18">
        <v>28.91</v>
      </c>
      <c r="D18">
        <f>AVERAGE(C18:C22)</f>
        <v>28.877999999999997</v>
      </c>
      <c r="J18">
        <f>_xlfn.STDEV.S(C18:C22)</f>
        <v>3.6331804249170298E-2</v>
      </c>
      <c r="K18">
        <f>J18/D18*100</f>
        <v>0.12581135899013193</v>
      </c>
      <c r="L18">
        <f>2*J18/D18*100</f>
        <v>0.25162271798026387</v>
      </c>
    </row>
    <row r="19" spans="2:12" x14ac:dyDescent="0.3">
      <c r="B19">
        <v>2</v>
      </c>
      <c r="C19">
        <v>28.91</v>
      </c>
    </row>
    <row r="20" spans="2:12" x14ac:dyDescent="0.3">
      <c r="B20">
        <v>3</v>
      </c>
      <c r="C20">
        <v>28.85</v>
      </c>
    </row>
    <row r="21" spans="2:12" x14ac:dyDescent="0.3">
      <c r="B21">
        <v>4</v>
      </c>
      <c r="C21">
        <v>28.89</v>
      </c>
    </row>
    <row r="22" spans="2:12" x14ac:dyDescent="0.3">
      <c r="B22">
        <v>5</v>
      </c>
      <c r="C22">
        <v>28.83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Uji Akurasi</vt:lpstr>
      <vt:lpstr>Uji Akurasi Revisi</vt:lpstr>
      <vt:lpstr>Uji akurasi tegangan revisi</vt:lpstr>
      <vt:lpstr>Uji akurasi suhu revisi</vt:lpstr>
      <vt:lpstr>Uji Akurasi Arus Revisi</vt:lpstr>
      <vt:lpstr>Latensi</vt:lpstr>
      <vt:lpstr>Data Loss</vt:lpstr>
      <vt:lpstr>Presisi</vt:lpstr>
      <vt:lpstr>Presisi ulang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</dc:creator>
  <cp:lastModifiedBy>Rizky Ahmad</cp:lastModifiedBy>
  <dcterms:created xsi:type="dcterms:W3CDTF">2025-07-21T09:59:32Z</dcterms:created>
  <dcterms:modified xsi:type="dcterms:W3CDTF">2026-06-14T15:09:35Z</dcterms:modified>
</cp:coreProperties>
</file>